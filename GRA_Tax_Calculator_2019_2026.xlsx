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1_558AEE14FFE24B78B57E2AB9D14B02729290BB4F" xr6:coauthVersionLast="47" xr6:coauthVersionMax="47" xr10:uidLastSave="{00000000-0000-0000-0000-000000000000}"/>
  <bookViews>
    <workbookView xWindow="-108" yWindow="-108" windowWidth="23256" windowHeight="12456" tabRatio="500" firstSheet="5" activeTab="10" xr2:uid="{00000000-000D-0000-FFFF-FFFF00000000}"/>
  </bookViews>
  <sheets>
    <sheet name="Cover" sheetId="1" r:id="rId1"/>
    <sheet name="Overview" sheetId="2" r:id="rId2"/>
    <sheet name="Year Selector" sheetId="3" r:id="rId3"/>
    <sheet name="GRA 2019" sheetId="4" r:id="rId4"/>
    <sheet name="GRA 2020" sheetId="5" r:id="rId5"/>
    <sheet name="GRA 2021" sheetId="6" r:id="rId6"/>
    <sheet name="GRA 2022" sheetId="7" r:id="rId7"/>
    <sheet name="GRA 2023" sheetId="8" r:id="rId8"/>
    <sheet name="GRA 2024" sheetId="9" r:id="rId9"/>
    <sheet name="GRA 2025" sheetId="10" r:id="rId10"/>
    <sheet name="GRA 2026" sheetId="11" r:id="rId11"/>
  </sheets>
  <definedNames>
    <definedName name="_xlnm.Print_Area" localSheetId="0">Cover!$A$1:$G$25</definedName>
    <definedName name="_xlnm.Print_Area" localSheetId="3">'GRA 2019'!$A$1:$F$21</definedName>
    <definedName name="_xlnm.Print_Area" localSheetId="4">'GRA 2020'!$A$1:$F$21</definedName>
    <definedName name="_xlnm.Print_Area" localSheetId="5">'GRA 2021'!$A$1:$F$21</definedName>
    <definedName name="_xlnm.Print_Area" localSheetId="6">'GRA 2022'!$A$1:$F$21</definedName>
    <definedName name="_xlnm.Print_Area" localSheetId="7">'GRA 2023'!$A$1:$F$22</definedName>
    <definedName name="_xlnm.Print_Area" localSheetId="8">'GRA 2024'!$A$1:$F$22</definedName>
    <definedName name="_xlnm.Print_Area" localSheetId="9">'GRA 2025'!$A$1:$F$22</definedName>
    <definedName name="_xlnm.Print_Area" localSheetId="10">'GRA 2026'!$A$1:$F$22</definedName>
    <definedName name="_xlnm.Print_Area" localSheetId="1">Overview!$A$1:$J$15</definedName>
    <definedName name="_xlnm.Print_Area" localSheetId="2">'Year Selector'!$A$1:$I$23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8" i="11" l="1"/>
  <c r="C15" i="11"/>
  <c r="E15" i="11" s="1"/>
  <c r="C14" i="11"/>
  <c r="E14" i="11" s="1"/>
  <c r="C13" i="11"/>
  <c r="E13" i="11" s="1"/>
  <c r="C12" i="11"/>
  <c r="E12" i="11" s="1"/>
  <c r="C11" i="11"/>
  <c r="E11" i="11" s="1"/>
  <c r="C10" i="11"/>
  <c r="E10" i="11" s="1"/>
  <c r="C9" i="11"/>
  <c r="E9" i="11" s="1"/>
  <c r="F9" i="11" s="1"/>
  <c r="F10" i="11" s="1"/>
  <c r="F11" i="11" s="1"/>
  <c r="F12" i="11" s="1"/>
  <c r="F13" i="11" s="1"/>
  <c r="F14" i="11" s="1"/>
  <c r="F15" i="11" s="1"/>
  <c r="E18" i="10"/>
  <c r="C15" i="10"/>
  <c r="E15" i="10" s="1"/>
  <c r="C14" i="10"/>
  <c r="E14" i="10" s="1"/>
  <c r="C13" i="10"/>
  <c r="E13" i="10" s="1"/>
  <c r="C12" i="10"/>
  <c r="E12" i="10" s="1"/>
  <c r="C11" i="10"/>
  <c r="E11" i="10" s="1"/>
  <c r="C10" i="10"/>
  <c r="E10" i="10" s="1"/>
  <c r="C9" i="10"/>
  <c r="E9" i="10" s="1"/>
  <c r="F9" i="10" s="1"/>
  <c r="F10" i="10" s="1"/>
  <c r="F11" i="10" s="1"/>
  <c r="F12" i="10" s="1"/>
  <c r="F13" i="10" s="1"/>
  <c r="F14" i="10" s="1"/>
  <c r="E18" i="9"/>
  <c r="C15" i="9"/>
  <c r="E15" i="9" s="1"/>
  <c r="C14" i="9"/>
  <c r="E14" i="9" s="1"/>
  <c r="C13" i="9"/>
  <c r="E13" i="9" s="1"/>
  <c r="C12" i="9"/>
  <c r="E12" i="9" s="1"/>
  <c r="C11" i="9"/>
  <c r="E11" i="9" s="1"/>
  <c r="C10" i="9"/>
  <c r="E10" i="9" s="1"/>
  <c r="C9" i="9"/>
  <c r="E9" i="9" s="1"/>
  <c r="F9" i="9" s="1"/>
  <c r="F10" i="9" s="1"/>
  <c r="F11" i="9" s="1"/>
  <c r="F12" i="9" s="1"/>
  <c r="F13" i="9" s="1"/>
  <c r="E18" i="8"/>
  <c r="C15" i="8"/>
  <c r="E15" i="8" s="1"/>
  <c r="C14" i="8"/>
  <c r="E14" i="8" s="1"/>
  <c r="C13" i="8"/>
  <c r="E13" i="8" s="1"/>
  <c r="C12" i="8"/>
  <c r="E12" i="8" s="1"/>
  <c r="C11" i="8"/>
  <c r="E11" i="8" s="1"/>
  <c r="C10" i="8"/>
  <c r="E10" i="8" s="1"/>
  <c r="C9" i="8"/>
  <c r="E9" i="8" s="1"/>
  <c r="F9" i="8" s="1"/>
  <c r="F10" i="8" s="1"/>
  <c r="F11" i="8" s="1"/>
  <c r="F12" i="8" s="1"/>
  <c r="F13" i="8" s="1"/>
  <c r="F14" i="8" s="1"/>
  <c r="F15" i="8" s="1"/>
  <c r="E17" i="7"/>
  <c r="C14" i="7"/>
  <c r="E14" i="7" s="1"/>
  <c r="C13" i="7"/>
  <c r="E13" i="7" s="1"/>
  <c r="C12" i="7"/>
  <c r="E12" i="7" s="1"/>
  <c r="C11" i="7"/>
  <c r="E11" i="7" s="1"/>
  <c r="C10" i="7"/>
  <c r="E10" i="7" s="1"/>
  <c r="C9" i="7"/>
  <c r="E9" i="7" s="1"/>
  <c r="F9" i="7" s="1"/>
  <c r="F10" i="7" s="1"/>
  <c r="E17" i="6"/>
  <c r="C14" i="6"/>
  <c r="E14" i="6" s="1"/>
  <c r="C13" i="6"/>
  <c r="E13" i="6" s="1"/>
  <c r="C12" i="6"/>
  <c r="E12" i="6" s="1"/>
  <c r="C11" i="6"/>
  <c r="E11" i="6" s="1"/>
  <c r="C10" i="6"/>
  <c r="E10" i="6" s="1"/>
  <c r="C9" i="6"/>
  <c r="E9" i="6" s="1"/>
  <c r="F9" i="6" s="1"/>
  <c r="F10" i="6" s="1"/>
  <c r="F11" i="6" s="1"/>
  <c r="F12" i="6" s="1"/>
  <c r="F13" i="6" s="1"/>
  <c r="F14" i="6" s="1"/>
  <c r="E17" i="5"/>
  <c r="C14" i="5"/>
  <c r="E14" i="5" s="1"/>
  <c r="C13" i="5"/>
  <c r="E13" i="5" s="1"/>
  <c r="C12" i="5"/>
  <c r="E12" i="5" s="1"/>
  <c r="C11" i="5"/>
  <c r="E11" i="5" s="1"/>
  <c r="C10" i="5"/>
  <c r="E10" i="5" s="1"/>
  <c r="C9" i="5"/>
  <c r="E9" i="5" s="1"/>
  <c r="F9" i="5" s="1"/>
  <c r="F10" i="5" s="1"/>
  <c r="F11" i="5" s="1"/>
  <c r="F12" i="5" s="1"/>
  <c r="F13" i="5" s="1"/>
  <c r="F14" i="5" s="1"/>
  <c r="E17" i="4"/>
  <c r="C14" i="4"/>
  <c r="E14" i="4" s="1"/>
  <c r="C13" i="4"/>
  <c r="E13" i="4" s="1"/>
  <c r="C12" i="4"/>
  <c r="E12" i="4" s="1"/>
  <c r="C11" i="4"/>
  <c r="E11" i="4" s="1"/>
  <c r="C10" i="4"/>
  <c r="E10" i="4" s="1"/>
  <c r="C9" i="4"/>
  <c r="E9" i="4" s="1"/>
  <c r="F9" i="4" s="1"/>
  <c r="F10" i="4" s="1"/>
  <c r="F11" i="4" s="1"/>
  <c r="F12" i="4" s="1"/>
  <c r="F13" i="4" s="1"/>
  <c r="F14" i="4" s="1"/>
  <c r="E20" i="3"/>
  <c r="D17" i="3"/>
  <c r="I16" i="3"/>
  <c r="H16" i="3"/>
  <c r="C17" i="3" s="1"/>
  <c r="E17" i="3" s="1"/>
  <c r="I15" i="3"/>
  <c r="H15" i="3"/>
  <c r="C16" i="3" s="1"/>
  <c r="E16" i="3" s="1"/>
  <c r="I14" i="3"/>
  <c r="H14" i="3"/>
  <c r="C15" i="3" s="1"/>
  <c r="E15" i="3" s="1"/>
  <c r="I13" i="3"/>
  <c r="H13" i="3"/>
  <c r="C14" i="3" s="1"/>
  <c r="E14" i="3" s="1"/>
  <c r="I12" i="3"/>
  <c r="H12" i="3"/>
  <c r="C13" i="3" s="1"/>
  <c r="E13" i="3" s="1"/>
  <c r="I11" i="3"/>
  <c r="H11" i="3"/>
  <c r="C12" i="3" s="1"/>
  <c r="E12" i="3" s="1"/>
  <c r="I10" i="3"/>
  <c r="H10" i="3"/>
  <c r="C11" i="3" s="1"/>
  <c r="E11" i="3" s="1"/>
  <c r="E17" i="11" l="1"/>
  <c r="E19" i="11"/>
  <c r="E17" i="8"/>
  <c r="E19" i="8"/>
  <c r="E18" i="6"/>
  <c r="E16" i="6"/>
  <c r="E16" i="5"/>
  <c r="E18" i="5"/>
  <c r="E16" i="4"/>
  <c r="E18" i="4"/>
  <c r="E19" i="3"/>
  <c r="E21" i="3"/>
  <c r="F15" i="10"/>
  <c r="F14" i="9"/>
  <c r="F15" i="9" s="1"/>
  <c r="F11" i="7"/>
  <c r="F12" i="7" s="1"/>
  <c r="F13" i="7" s="1"/>
  <c r="F14" i="7" s="1"/>
  <c r="E19" i="10" l="1"/>
  <c r="E17" i="10"/>
  <c r="E19" i="9"/>
  <c r="E17" i="9"/>
  <c r="E18" i="7"/>
  <c r="E16" i="7"/>
</calcChain>
</file>

<file path=xl/sharedStrings.xml><?xml version="1.0" encoding="utf-8"?>
<sst xmlns="http://schemas.openxmlformats.org/spreadsheetml/2006/main" count="310" uniqueCount="163">
  <si>
    <t>🇬🇭  GHANA REVENUE AUTHORITY</t>
  </si>
  <si>
    <t>Individual Income Tax Calculator</t>
  </si>
  <si>
    <t>Annual Graduated Tax Rates  •  2019 - 2026</t>
  </si>
  <si>
    <t>This workbook provides interactive tax calculators for each year from 2019 to 2026, a multi-year band comparison overview, and a quick year-selector calculator - all based on official GRA graduated rates for resident individuals.</t>
  </si>
  <si>
    <t>WORKBOOK CONTENTS</t>
  </si>
  <si>
    <t>Sheet Name</t>
  </si>
  <si>
    <t>Description</t>
  </si>
  <si>
    <t>Cover</t>
  </si>
  <si>
    <t>This page - project overview and navigation</t>
  </si>
  <si>
    <t>Overview</t>
  </si>
  <si>
    <t>Side-by-side comparison of all tax bands 2019-2026</t>
  </si>
  <si>
    <t>Year Selector</t>
  </si>
  <si>
    <t>Enter your income once - pick a year - get your tax instantly</t>
  </si>
  <si>
    <t>GRA 2019</t>
  </si>
  <si>
    <t>2019 annual tax calculator</t>
  </si>
  <si>
    <t>GRA 2020</t>
  </si>
  <si>
    <t>2020 annual tax calculator  (Act 1007)</t>
  </si>
  <si>
    <t>GRA 2021</t>
  </si>
  <si>
    <t>2021 annual tax calculator  (bands unchanged from 2020)</t>
  </si>
  <si>
    <t>GRA 2022</t>
  </si>
  <si>
    <t>2022 annual tax calculator  (Act 1071)</t>
  </si>
  <si>
    <t>GRA 2023</t>
  </si>
  <si>
    <t>2023 annual tax calculator  (Act 1093 - 35% band added May 2023)</t>
  </si>
  <si>
    <t>GRA 2024</t>
  </si>
  <si>
    <t>2024 annual tax calculator  (Act 1111)</t>
  </si>
  <si>
    <t>GRA 2025</t>
  </si>
  <si>
    <t>2025 annual tax calculator</t>
  </si>
  <si>
    <t>GRA 2026</t>
  </si>
  <si>
    <t>2026 annual tax calculator</t>
  </si>
  <si>
    <t>Source: Ghana Revenue Authority (GRA) | Income Tax Act, 2015 (Act 896) and amendments</t>
  </si>
  <si>
    <t>Prepared for educational and reference purposes only. Confirm rates with GRA for official filing.</t>
  </si>
  <si>
    <t>🇬🇭  Ghana Revenue Authority - Income Tax Band Comparison (2019-2026)</t>
  </si>
  <si>
    <t>Annual chargeable income bands for resident individuals  •  Amounts in GH¢</t>
  </si>
  <si>
    <t>Tax Rate</t>
  </si>
  <si>
    <t>2019</t>
  </si>
  <si>
    <t>2020</t>
  </si>
  <si>
    <t>2021</t>
  </si>
  <si>
    <t>2022</t>
  </si>
  <si>
    <t>2023</t>
  </si>
  <si>
    <t>2024</t>
  </si>
  <si>
    <t>2025</t>
  </si>
  <si>
    <t>2026</t>
  </si>
  <si>
    <t>0%</t>
  </si>
  <si>
    <t>0 - 3,456</t>
  </si>
  <si>
    <t>0 - 3,828</t>
  </si>
  <si>
    <t>0 - 4,380</t>
  </si>
  <si>
    <t>0 - 4,824</t>
  </si>
  <si>
    <t>0 - 5,880</t>
  </si>
  <si>
    <t>5%</t>
  </si>
  <si>
    <t>3,456 - 4,656</t>
  </si>
  <si>
    <t>3,828 - 5,028</t>
  </si>
  <si>
    <t>4,380 - 5,700</t>
  </si>
  <si>
    <t>4,824 - 6,144</t>
  </si>
  <si>
    <t>5,880 - 7,200</t>
  </si>
  <si>
    <t>10%</t>
  </si>
  <si>
    <t>4,656 - 6,336</t>
  </si>
  <si>
    <t>5,028 - 6,468</t>
  </si>
  <si>
    <t>5,700 - 7,260</t>
  </si>
  <si>
    <t>6,144 - 7,704</t>
  </si>
  <si>
    <t>7,200 - 8,760</t>
  </si>
  <si>
    <t>17.5%</t>
  </si>
  <si>
    <t>6,336 - 42,336</t>
  </si>
  <si>
    <t>6,468 - 42,468</t>
  </si>
  <si>
    <t>7,260 - 43,260</t>
  </si>
  <si>
    <t>7,704 - 43,704</t>
  </si>
  <si>
    <t>8,760 - 44,760</t>
  </si>
  <si>
    <t>8,760 - 46,760</t>
  </si>
  <si>
    <t>25%</t>
  </si>
  <si>
    <t>42,336 - 240,000</t>
  </si>
  <si>
    <t>42,468 - 240,000</t>
  </si>
  <si>
    <t>43,260 - 240,000</t>
  </si>
  <si>
    <t>43,704 - 240,444</t>
  </si>
  <si>
    <t>44,760 - 240,000</t>
  </si>
  <si>
    <t>46,760 - 238,760</t>
  </si>
  <si>
    <t>30%</t>
  </si>
  <si>
    <t>Above 240,000</t>
  </si>
  <si>
    <t>240,444 - 600,000</t>
  </si>
  <si>
    <t>240,000 - 600,000</t>
  </si>
  <si>
    <t>238,760 - 605,000</t>
  </si>
  <si>
    <t>35%</t>
  </si>
  <si>
    <t>-</t>
  </si>
  <si>
    <t>Above 600,000</t>
  </si>
  <si>
    <t>Above 605,000</t>
  </si>
  <si>
    <t>Tax-Free
Threshold</t>
  </si>
  <si>
    <t>GH¢ 3,456</t>
  </si>
  <si>
    <t>GH¢ 3,828</t>
  </si>
  <si>
    <t>GH¢ 4,380</t>
  </si>
  <si>
    <t>GH¢ 4,824</t>
  </si>
  <si>
    <t>GH¢ 5,880</t>
  </si>
  <si>
    <t>Notes: 2021 bands were unchanged from 2020. The 35% bracket was introduced in May 2023 (Act 1093). 2024 bands revised under Act 1111. 2025-2026 bands reflect GRA schedule as of August 2025 KPMG TaxDataCard.</t>
  </si>
  <si>
    <t>🇬🇭  Ghana Revenue Authority - Year Selector</t>
  </si>
  <si>
    <t>Enter your income and select a year - tax is calculated automatically</t>
  </si>
  <si>
    <t>INPUTS</t>
  </si>
  <si>
    <t>Annual Chargeable Income (GH¢)</t>
  </si>
  <si>
    <t>Select Year</t>
  </si>
  <si>
    <t>ℹ️  Type income in GH¢ above. Enter a year between 2019 and 2026 in the year field.</t>
  </si>
  <si>
    <t>TAX CALCULATION RESULT</t>
  </si>
  <si>
    <t>Band</t>
  </si>
  <si>
    <t>Taxable in Band (GH¢)</t>
  </si>
  <si>
    <t>Rate</t>
  </si>
  <si>
    <t>Tax on Band (GH¢)</t>
  </si>
  <si>
    <t>1st Band (0%)</t>
  </si>
  <si>
    <t>2nd Band (5%)</t>
  </si>
  <si>
    <t>3rd Band (10%)</t>
  </si>
  <si>
    <t>4th Band (17.5%)</t>
  </si>
  <si>
    <t>5th Band (25%)</t>
  </si>
  <si>
    <t>6th Band (30%)</t>
  </si>
  <si>
    <t>0.3</t>
  </si>
  <si>
    <t>7th Band (35%)</t>
  </si>
  <si>
    <t>TOTAL TAX PAYABLE (GH¢)</t>
  </si>
  <si>
    <t>Effective Tax Rate</t>
  </si>
  <si>
    <t>Net Income After Tax (GH¢)</t>
  </si>
  <si>
    <t>ℹ️  Valid years: 2019 - 2026  |  Non-residents are taxed at a flat 25%  |  Source: GRA</t>
  </si>
  <si>
    <t>🇬🇭  Ghana Revenue Authority</t>
  </si>
  <si>
    <t>Annual Individual Income Tax Calculator - 2019</t>
  </si>
  <si>
    <t>INPUT</t>
  </si>
  <si>
    <t>TAX BREAKDOWN BY BAND</t>
  </si>
  <si>
    <t>Income Band (GH¢)</t>
  </si>
  <si>
    <t>Annual Band (GH¢)</t>
  </si>
  <si>
    <t>Cumulative Tax (GH¢)</t>
  </si>
  <si>
    <t>First GH¢3,456</t>
  </si>
  <si>
    <t>Next GH¢1,200</t>
  </si>
  <si>
    <t>Next GH¢1,680</t>
  </si>
  <si>
    <t>Next GH¢36,000</t>
  </si>
  <si>
    <t>Next GH¢197,664</t>
  </si>
  <si>
    <t>Above GH¢240,000</t>
  </si>
  <si>
    <t>TOTAL ANNUAL TAX PAYABLE (GH¢)</t>
  </si>
  <si>
    <t>ℹ️  Enter income in yellow cell (C5). Top rate: 30% | Non-residents: flat 25%</t>
  </si>
  <si>
    <t>Source: GRA / PwC Ghana Tax Facts &amp; Figures 2019</t>
  </si>
  <si>
    <t>Annual Individual Income Tax Calculator - 2020</t>
  </si>
  <si>
    <t>First GH¢3,828</t>
  </si>
  <si>
    <t>Next GH¢1,440</t>
  </si>
  <si>
    <t>Next GH¢197,532</t>
  </si>
  <si>
    <t>Source: GRA / Income Tax (Amendment) Act, 2019 (Act 1007) - effective 1 Jan 2020</t>
  </si>
  <si>
    <t>Annual Individual Income Tax Calculator - 2021</t>
  </si>
  <si>
    <t>ℹ️  Enter income in yellow cell (C5). Top rate: 30% | Non-residents: flat 25% | Bands unchanged from 2020</t>
  </si>
  <si>
    <t>Source: GRA - 2021 bands same as 2020 (no amendment enacted)</t>
  </si>
  <si>
    <t>Annual Individual Income Tax Calculator - 2022</t>
  </si>
  <si>
    <t>First GH¢4,380</t>
  </si>
  <si>
    <t>Next GH¢1,320</t>
  </si>
  <si>
    <t>Next GH¢1,560</t>
  </si>
  <si>
    <t>Next GH¢196,740</t>
  </si>
  <si>
    <t>Source: GRA / Income Tax (Amendment) Act, 2021 (Act 1071) - effective 1 Jan 2022</t>
  </si>
  <si>
    <t>Annual Individual Income Tax Calculator - 2023</t>
  </si>
  <si>
    <t>First GH¢4,824</t>
  </si>
  <si>
    <t>Next GH¢359,556</t>
  </si>
  <si>
    <t>Above GH¢600,000</t>
  </si>
  <si>
    <t>ℹ️  Enter income in yellow cell (C5). Top rate: 35% (new bracket from 1 May 2023) | Non-residents: flat 25%</t>
  </si>
  <si>
    <t>Source: GRA / Income Tax (Amendment) (No.2) Act, 2022 - effective 1 May 2023</t>
  </si>
  <si>
    <t>Annual Individual Income Tax Calculator - 2024</t>
  </si>
  <si>
    <t>First GH¢5,880</t>
  </si>
  <si>
    <t>Next GH¢195,240</t>
  </si>
  <si>
    <t>Next GH¢360,000</t>
  </si>
  <si>
    <t>ℹ️  Enter income in yellow cell (C5). Top rate: 35% | Non-residents: flat 25%</t>
  </si>
  <si>
    <t>Source: GRA / Income Tax (Amendment)(No.2) Act, 2023 (Act 1111) - effective 1 Jan 2024</t>
  </si>
  <si>
    <t>Annual Individual Income Tax Calculator - 2025</t>
  </si>
  <si>
    <t>Next GH¢38,000</t>
  </si>
  <si>
    <t>Next GH¢192,000</t>
  </si>
  <si>
    <t>Next GH¢366,240</t>
  </si>
  <si>
    <t>Above GH¢605,000</t>
  </si>
  <si>
    <t>Source: GRA / KPMG TaxDataCard Aug 2025 - effective 1 Jan 2025</t>
  </si>
  <si>
    <t>Annual Individual Income Tax Calculator - 2026</t>
  </si>
  <si>
    <t>Source: GRA / Income Tax Act 896 (as amended) - effective 1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</si>
</sst>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3" x14ac:knownFonts="1">
    <font>
      <sz val="11"/>
      <color theme="1"/>
      <name val="Calibri"/>
      <family val="2"/>
      <charset val="1"/>
    </font>
    <font>
      <b/>
      <sz val="20"/>
      <color rgb="FFC9A84C"/>
      <name val="Arial"/>
      <charset val="1"/>
    </font>
    <font>
      <sz val="14"/>
      <color rgb="FFFFFFFF"/>
      <name val="Arial"/>
      <charset val="1"/>
    </font>
    <font>
      <i/>
      <sz val="11"/>
      <color rgb="FFFAD7A0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1A5276"/>
      <name val="Arial"/>
      <charset val="1"/>
    </font>
    <font>
      <sz val="9"/>
      <color rgb="FF000000"/>
      <name val="Arial"/>
      <charset val="1"/>
    </font>
    <font>
      <i/>
      <sz val="8"/>
      <color rgb="FF888888"/>
      <name val="Arial"/>
      <charset val="1"/>
    </font>
    <font>
      <b/>
      <sz val="14"/>
      <color rgb="FFFFFFFF"/>
      <name val="Arial"/>
      <charset val="1"/>
    </font>
    <font>
      <i/>
      <sz val="10"/>
      <color rgb="FFFFFFFF"/>
      <name val="Arial"/>
      <charset val="1"/>
    </font>
    <font>
      <b/>
      <sz val="10"/>
      <color rgb="FF1A5276"/>
      <name val="Arial"/>
      <charset val="1"/>
    </font>
    <font>
      <sz val="9"/>
      <color rgb="FFAAAAAA"/>
      <name val="Arial"/>
      <charset val="1"/>
    </font>
    <font>
      <i/>
      <sz val="8"/>
      <color rgb="FF666666"/>
      <name val="Arial"/>
      <charset val="1"/>
    </font>
    <font>
      <b/>
      <sz val="16"/>
      <color rgb="FFFFFFFF"/>
      <name val="Arial"/>
      <charset val="1"/>
    </font>
    <font>
      <b/>
      <sz val="11"/>
      <color rgb="FF000000"/>
      <name val="Arial"/>
      <charset val="1"/>
    </font>
    <font>
      <b/>
      <sz val="11"/>
      <color rgb="FF0000FF"/>
      <name val="Arial"/>
      <charset val="1"/>
    </font>
    <font>
      <i/>
      <sz val="9"/>
      <color rgb="FF555555"/>
      <name val="Arial"/>
      <charset val="1"/>
    </font>
    <font>
      <b/>
      <sz val="11"/>
      <color rgb="FFFFFFFF"/>
      <name val="Arial"/>
      <charset val="1"/>
    </font>
    <font>
      <sz val="12"/>
      <color rgb="FFFFFFFF"/>
      <name val="Arial"/>
      <charset val="1"/>
    </font>
    <font>
      <sz val="10"/>
      <color rgb="FF000000"/>
      <name val="Arial"/>
      <charset val="1"/>
    </font>
    <font>
      <i/>
      <sz val="9"/>
      <color rgb="FF888888"/>
      <name val="Arial"/>
      <charset val="1"/>
    </font>
  </fonts>
  <fills count="15">
    <fill>
      <patternFill patternType="none"/>
    </fill>
    <fill>
      <patternFill patternType="gray125"/>
    </fill>
    <fill>
      <patternFill patternType="solid">
        <fgColor rgb="FF1A5276"/>
        <bgColor rgb="FF1F618D"/>
      </patternFill>
    </fill>
    <fill>
      <patternFill patternType="solid">
        <fgColor rgb="FF1F618D"/>
        <bgColor rgb="FF1A5276"/>
      </patternFill>
    </fill>
    <fill>
      <patternFill patternType="solid">
        <fgColor rgb="FFC9A84C"/>
        <bgColor rgb="FFAAAAAA"/>
      </patternFill>
    </fill>
    <fill>
      <patternFill patternType="solid">
        <fgColor rgb="FFFFFFFF"/>
        <bgColor rgb="FFFEF9E7"/>
      </patternFill>
    </fill>
    <fill>
      <patternFill patternType="solid">
        <fgColor rgb="FFF2F3F4"/>
        <bgColor rgb="FFEBF5FB"/>
      </patternFill>
    </fill>
    <fill>
      <patternFill patternType="solid">
        <fgColor rgb="FFD6EAF8"/>
        <bgColor rgb="FFD5F5E3"/>
      </patternFill>
    </fill>
    <fill>
      <patternFill patternType="solid">
        <fgColor rgb="FFD5F5E3"/>
        <bgColor rgb="FFD6EAF8"/>
      </patternFill>
    </fill>
    <fill>
      <patternFill patternType="solid">
        <fgColor rgb="FFFEF9E7"/>
        <bgColor rgb="FFFDF2E9"/>
      </patternFill>
    </fill>
    <fill>
      <patternFill patternType="solid">
        <fgColor rgb="FFFDEDEC"/>
        <bgColor rgb="FFFDF2E9"/>
      </patternFill>
    </fill>
    <fill>
      <patternFill patternType="solid">
        <fgColor rgb="FFF4ECF7"/>
        <bgColor rgb="FFF2F3F4"/>
      </patternFill>
    </fill>
    <fill>
      <patternFill patternType="solid">
        <fgColor rgb="FFEBF5FB"/>
        <bgColor rgb="FFF2F3F4"/>
      </patternFill>
    </fill>
    <fill>
      <patternFill patternType="solid">
        <fgColor rgb="FFFDF2E9"/>
        <bgColor rgb="FFFDEDEC"/>
      </patternFill>
    </fill>
    <fill>
      <patternFill patternType="solid">
        <fgColor rgb="FFFFF9C4"/>
        <bgColor rgb="FFFEF9E7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7" fillId="0" borderId="0" xfId="0" applyFont="1"/>
    <xf numFmtId="0" fontId="15" fillId="2" borderId="0" xfId="0" applyFont="1" applyFill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1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6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5" fillId="3" borderId="0" xfId="0" applyFont="1" applyFill="1" applyAlignment="1">
      <alignment horizontal="left" vertical="center" indent="1"/>
    </xf>
    <xf numFmtId="0" fontId="4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6" fillId="4" borderId="1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left" vertical="center" indent="1"/>
    </xf>
    <xf numFmtId="0" fontId="8" fillId="5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 indent="1"/>
    </xf>
    <xf numFmtId="0" fontId="8" fillId="6" borderId="1" xfId="0" applyFont="1" applyFill="1" applyBorder="1" applyAlignment="1">
      <alignment horizontal="left" vertical="center" indent="1"/>
    </xf>
    <xf numFmtId="0" fontId="5" fillId="4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8" fillId="1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horizontal="center" vertical="center" wrapText="1"/>
    </xf>
    <xf numFmtId="4" fontId="8" fillId="5" borderId="1" xfId="0" applyNumberFormat="1" applyFont="1" applyFill="1" applyBorder="1" applyAlignment="1">
      <alignment horizontal="right" vertical="center" indent="1"/>
    </xf>
    <xf numFmtId="164" fontId="8" fillId="5" borderId="1" xfId="0" applyNumberFormat="1" applyFont="1" applyFill="1" applyBorder="1" applyAlignment="1">
      <alignment horizontal="center" vertical="center"/>
    </xf>
    <xf numFmtId="4" fontId="8" fillId="6" borderId="1" xfId="0" applyNumberFormat="1" applyFont="1" applyFill="1" applyBorder="1" applyAlignment="1">
      <alignment horizontal="right" vertical="center" indent="1"/>
    </xf>
    <xf numFmtId="164" fontId="8" fillId="6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left" vertical="center" indent="1"/>
    </xf>
    <xf numFmtId="4" fontId="21" fillId="5" borderId="1" xfId="0" applyNumberFormat="1" applyFont="1" applyFill="1" applyBorder="1" applyAlignment="1">
      <alignment horizontal="right" vertical="center" indent="1"/>
    </xf>
    <xf numFmtId="164" fontId="21" fillId="5" borderId="1" xfId="0" applyNumberFormat="1" applyFont="1" applyFill="1" applyBorder="1" applyAlignment="1">
      <alignment horizontal="center" vertical="center"/>
    </xf>
    <xf numFmtId="0" fontId="21" fillId="6" borderId="1" xfId="0" applyFont="1" applyFill="1" applyBorder="1" applyAlignment="1">
      <alignment horizontal="left" vertical="center" indent="1"/>
    </xf>
    <xf numFmtId="4" fontId="21" fillId="6" borderId="1" xfId="0" applyNumberFormat="1" applyFont="1" applyFill="1" applyBorder="1" applyAlignment="1">
      <alignment horizontal="right" vertical="center" indent="1"/>
    </xf>
    <xf numFmtId="164" fontId="21" fillId="6" borderId="1" xfId="0" applyNumberFormat="1" applyFont="1" applyFill="1" applyBorder="1" applyAlignment="1">
      <alignment horizontal="center" vertical="center"/>
    </xf>
    <xf numFmtId="4" fontId="17" fillId="14" borderId="1" xfId="0" applyNumberFormat="1" applyFont="1" applyFill="1" applyBorder="1" applyAlignment="1">
      <alignment horizontal="left" vertical="center" indent="1"/>
    </xf>
    <xf numFmtId="1" fontId="17" fillId="14" borderId="1" xfId="0" applyNumberFormat="1" applyFont="1" applyFill="1" applyBorder="1" applyAlignment="1">
      <alignment horizontal="left" vertical="center" indent="1"/>
    </xf>
    <xf numFmtId="0" fontId="18" fillId="0" borderId="0" xfId="0" applyFont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" fontId="8" fillId="5" borderId="1" xfId="0" applyNumberFormat="1" applyFont="1" applyFill="1" applyBorder="1" applyAlignment="1">
      <alignment horizontal="right" vertical="center" indent="1"/>
    </xf>
    <xf numFmtId="4" fontId="8" fillId="6" borderId="1" xfId="0" applyNumberFormat="1" applyFont="1" applyFill="1" applyBorder="1" applyAlignment="1">
      <alignment horizontal="right" vertical="center" indent="1"/>
    </xf>
    <xf numFmtId="0" fontId="5" fillId="2" borderId="1" xfId="0" applyFont="1" applyFill="1" applyBorder="1" applyAlignment="1">
      <alignment horizontal="left" vertical="center" indent="1"/>
    </xf>
    <xf numFmtId="4" fontId="19" fillId="2" borderId="1" xfId="0" applyNumberFormat="1" applyFont="1" applyFill="1" applyBorder="1" applyAlignment="1">
      <alignment horizontal="right" vertical="center" indent="1"/>
    </xf>
    <xf numFmtId="0" fontId="12" fillId="8" borderId="1" xfId="0" applyFont="1" applyFill="1" applyBorder="1" applyAlignment="1">
      <alignment horizontal="left" vertical="center" indent="1"/>
    </xf>
    <xf numFmtId="10" fontId="12" fillId="8" borderId="1" xfId="0" applyNumberFormat="1" applyFont="1" applyFill="1" applyBorder="1" applyAlignment="1">
      <alignment horizontal="right" vertical="center" indent="1"/>
    </xf>
    <xf numFmtId="4" fontId="12" fillId="8" borderId="1" xfId="0" applyNumberFormat="1" applyFont="1" applyFill="1" applyBorder="1" applyAlignment="1">
      <alignment horizontal="right" vertical="center" indent="1"/>
    </xf>
    <xf numFmtId="0" fontId="18" fillId="0" borderId="0" xfId="0" applyFont="1" applyAlignment="1">
      <alignment horizontal="left"/>
    </xf>
    <xf numFmtId="0" fontId="20" fillId="2" borderId="0" xfId="0" applyFont="1" applyFill="1" applyAlignment="1">
      <alignment horizontal="center" vertical="center"/>
    </xf>
    <xf numFmtId="0" fontId="18" fillId="0" borderId="0" xfId="0" applyFont="1"/>
    <xf numFmtId="0" fontId="22" fillId="0" borderId="0" xfId="0" applyFont="1"/>
    <xf numFmtId="4" fontId="17" fillId="14" borderId="2" xfId="0" applyNumberFormat="1" applyFont="1" applyFill="1" applyBorder="1" applyAlignment="1">
      <alignment horizontal="left" vertical="center" indent="1"/>
    </xf>
    <xf numFmtId="0" fontId="5" fillId="2" borderId="2" xfId="0" applyFont="1" applyFill="1" applyBorder="1" applyAlignment="1">
      <alignment horizontal="left" vertical="center" indent="1"/>
    </xf>
    <xf numFmtId="4" fontId="19" fillId="2" borderId="2" xfId="0" applyNumberFormat="1" applyFont="1" applyFill="1" applyBorder="1" applyAlignment="1">
      <alignment horizontal="right" vertical="center" indent="1"/>
    </xf>
    <xf numFmtId="0" fontId="12" fillId="8" borderId="2" xfId="0" applyFont="1" applyFill="1" applyBorder="1" applyAlignment="1">
      <alignment horizontal="left" vertical="center" indent="1"/>
    </xf>
    <xf numFmtId="10" fontId="12" fillId="8" borderId="2" xfId="0" applyNumberFormat="1" applyFont="1" applyFill="1" applyBorder="1" applyAlignment="1">
      <alignment horizontal="right" vertical="center" indent="1"/>
    </xf>
    <xf numFmtId="4" fontId="12" fillId="8" borderId="2" xfId="0" applyNumberFormat="1" applyFont="1" applyFill="1" applyBorder="1" applyAlignment="1">
      <alignment horizontal="right" vertical="center" indent="1"/>
    </xf>
    <xf numFmtId="0" fontId="2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DEDEC"/>
      <rgbColor rgb="FF888888"/>
      <rgbColor rgb="FF9999FF"/>
      <rgbColor rgb="FF993366"/>
      <rgbColor rgb="FFFFF9C4"/>
      <rgbColor rgb="FFD6EAF8"/>
      <rgbColor rgb="FF660066"/>
      <rgbColor rgb="FFFF8080"/>
      <rgbColor rgb="FF1F618D"/>
      <rgbColor rgb="FFF4ECF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FEF9E7"/>
      <rgbColor rgb="FFF2F3F4"/>
      <rgbColor rgb="FFFDF2E9"/>
      <rgbColor rgb="FFCC99FF"/>
      <rgbColor rgb="FFFAD7A0"/>
      <rgbColor rgb="FF3366FF"/>
      <rgbColor rgb="FF33CCCC"/>
      <rgbColor rgb="FF99CC00"/>
      <rgbColor rgb="FFFFCC00"/>
      <rgbColor rgb="FFC9A84C"/>
      <rgbColor rgb="FFFF6600"/>
      <rgbColor rgb="FF666666"/>
      <rgbColor rgb="FFAAAAAA"/>
      <rgbColor rgb="FF1A5276"/>
      <rgbColor rgb="FF339966"/>
      <rgbColor rgb="FF003300"/>
      <rgbColor rgb="FF333300"/>
      <rgbColor rgb="FF993300"/>
      <rgbColor rgb="FF993366"/>
      <rgbColor rgb="FF333399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showGridLines="0" zoomScale="70" zoomScaleNormal="70" workbookViewId="0"/>
  </sheetViews>
  <sheetFormatPr defaultColWidth="8.6640625" defaultRowHeight="14.4" x14ac:dyDescent="0.3"/>
  <cols>
    <col min="1" max="1" width="3" customWidth="1"/>
    <col min="2" max="2" width="22" customWidth="1"/>
    <col min="3" max="6" width="18" customWidth="1"/>
    <col min="7" max="7" width="3" customWidth="1"/>
  </cols>
  <sheetData>
    <row r="1" spans="1:7" ht="21.75" customHeight="1" x14ac:dyDescent="0.3">
      <c r="A1" s="15"/>
      <c r="B1" s="15"/>
      <c r="C1" s="15"/>
      <c r="D1" s="15"/>
      <c r="E1" s="15"/>
      <c r="F1" s="15"/>
      <c r="G1" s="15"/>
    </row>
    <row r="2" spans="1:7" ht="42" customHeight="1" x14ac:dyDescent="0.3">
      <c r="A2" s="15"/>
      <c r="B2" s="14" t="s">
        <v>0</v>
      </c>
      <c r="C2" s="14"/>
      <c r="D2" s="14"/>
      <c r="E2" s="14"/>
      <c r="F2" s="14"/>
      <c r="G2" s="15"/>
    </row>
    <row r="3" spans="1:7" ht="27.75" customHeight="1" x14ac:dyDescent="0.3">
      <c r="A3" s="15"/>
      <c r="B3" s="13" t="s">
        <v>1</v>
      </c>
      <c r="C3" s="13"/>
      <c r="D3" s="13"/>
      <c r="E3" s="13"/>
      <c r="F3" s="13"/>
      <c r="G3" s="15"/>
    </row>
    <row r="4" spans="1:7" ht="24" customHeight="1" x14ac:dyDescent="0.3">
      <c r="A4" s="15"/>
      <c r="B4" s="12" t="s">
        <v>2</v>
      </c>
      <c r="C4" s="12"/>
      <c r="D4" s="12"/>
      <c r="E4" s="12"/>
      <c r="F4" s="12"/>
      <c r="G4" s="15"/>
    </row>
    <row r="5" spans="1:7" ht="13.5" customHeight="1" x14ac:dyDescent="0.3">
      <c r="A5" s="15"/>
      <c r="B5" s="15"/>
      <c r="C5" s="15"/>
      <c r="D5" s="15"/>
      <c r="E5" s="15"/>
      <c r="F5" s="15"/>
      <c r="G5" s="15"/>
    </row>
    <row r="6" spans="1:7" ht="19.5" customHeight="1" x14ac:dyDescent="0.3">
      <c r="A6" s="15"/>
      <c r="B6" s="11" t="s">
        <v>3</v>
      </c>
      <c r="C6" s="11"/>
      <c r="D6" s="11"/>
      <c r="E6" s="11"/>
      <c r="F6" s="11"/>
      <c r="G6" s="15"/>
    </row>
    <row r="7" spans="1:7" ht="19.5" customHeight="1" x14ac:dyDescent="0.3">
      <c r="A7" s="15"/>
      <c r="B7" s="11"/>
      <c r="C7" s="11"/>
      <c r="D7" s="11"/>
      <c r="E7" s="11"/>
      <c r="F7" s="11"/>
      <c r="G7" s="15"/>
    </row>
    <row r="8" spans="1:7" ht="12" customHeight="1" x14ac:dyDescent="0.3">
      <c r="A8" s="15"/>
      <c r="B8" s="15"/>
      <c r="C8" s="15"/>
      <c r="D8" s="15"/>
      <c r="E8" s="15"/>
      <c r="F8" s="15"/>
      <c r="G8" s="15"/>
    </row>
    <row r="9" spans="1:7" ht="7.5" customHeight="1" x14ac:dyDescent="0.3"/>
    <row r="10" spans="1:7" ht="21.75" customHeight="1" x14ac:dyDescent="0.3">
      <c r="B10" s="10" t="s">
        <v>4</v>
      </c>
      <c r="C10" s="10"/>
      <c r="D10" s="10"/>
      <c r="E10" s="10"/>
      <c r="F10" s="10"/>
    </row>
    <row r="11" spans="1:7" ht="19.5" customHeight="1" x14ac:dyDescent="0.3">
      <c r="B11" s="16" t="s">
        <v>5</v>
      </c>
      <c r="C11" s="9" t="s">
        <v>6</v>
      </c>
      <c r="D11" s="9"/>
      <c r="E11" s="9"/>
      <c r="F11" s="9"/>
    </row>
    <row r="12" spans="1:7" ht="18" customHeight="1" x14ac:dyDescent="0.3">
      <c r="B12" s="17" t="s">
        <v>7</v>
      </c>
      <c r="C12" s="8" t="s">
        <v>8</v>
      </c>
      <c r="D12" s="8"/>
      <c r="E12" s="8"/>
      <c r="F12" s="8"/>
    </row>
    <row r="13" spans="1:7" ht="18" customHeight="1" x14ac:dyDescent="0.3">
      <c r="B13" s="19" t="s">
        <v>9</v>
      </c>
      <c r="C13" s="7" t="s">
        <v>10</v>
      </c>
      <c r="D13" s="7"/>
      <c r="E13" s="7"/>
      <c r="F13" s="7"/>
    </row>
    <row r="14" spans="1:7" ht="18" customHeight="1" x14ac:dyDescent="0.3">
      <c r="B14" s="17" t="s">
        <v>11</v>
      </c>
      <c r="C14" s="8" t="s">
        <v>12</v>
      </c>
      <c r="D14" s="8"/>
      <c r="E14" s="8"/>
      <c r="F14" s="8"/>
    </row>
    <row r="15" spans="1:7" ht="18" customHeight="1" x14ac:dyDescent="0.3">
      <c r="B15" s="19" t="s">
        <v>13</v>
      </c>
      <c r="C15" s="7" t="s">
        <v>14</v>
      </c>
      <c r="D15" s="7"/>
      <c r="E15" s="7"/>
      <c r="F15" s="7"/>
    </row>
    <row r="16" spans="1:7" ht="18" customHeight="1" x14ac:dyDescent="0.3">
      <c r="B16" s="17" t="s">
        <v>15</v>
      </c>
      <c r="C16" s="8" t="s">
        <v>16</v>
      </c>
      <c r="D16" s="8"/>
      <c r="E16" s="8"/>
      <c r="F16" s="8"/>
    </row>
    <row r="17" spans="2:6" ht="18" customHeight="1" x14ac:dyDescent="0.3">
      <c r="B17" s="19" t="s">
        <v>17</v>
      </c>
      <c r="C17" s="7" t="s">
        <v>18</v>
      </c>
      <c r="D17" s="7"/>
      <c r="E17" s="7"/>
      <c r="F17" s="7"/>
    </row>
    <row r="18" spans="2:6" ht="18" customHeight="1" x14ac:dyDescent="0.3">
      <c r="B18" s="17" t="s">
        <v>19</v>
      </c>
      <c r="C18" s="8" t="s">
        <v>20</v>
      </c>
      <c r="D18" s="8"/>
      <c r="E18" s="8"/>
      <c r="F18" s="8"/>
    </row>
    <row r="19" spans="2:6" ht="18" customHeight="1" x14ac:dyDescent="0.3">
      <c r="B19" s="19" t="s">
        <v>21</v>
      </c>
      <c r="C19" s="7" t="s">
        <v>22</v>
      </c>
      <c r="D19" s="7"/>
      <c r="E19" s="7"/>
      <c r="F19" s="7"/>
    </row>
    <row r="20" spans="2:6" ht="18" customHeight="1" x14ac:dyDescent="0.3">
      <c r="B20" s="17" t="s">
        <v>23</v>
      </c>
      <c r="C20" s="8" t="s">
        <v>24</v>
      </c>
      <c r="D20" s="8"/>
      <c r="E20" s="8"/>
      <c r="F20" s="8"/>
    </row>
    <row r="21" spans="2:6" ht="18" customHeight="1" x14ac:dyDescent="0.3">
      <c r="B21" s="19" t="s">
        <v>25</v>
      </c>
      <c r="C21" s="7" t="s">
        <v>26</v>
      </c>
      <c r="D21" s="7"/>
      <c r="E21" s="7"/>
      <c r="F21" s="7"/>
    </row>
    <row r="22" spans="2:6" ht="18" customHeight="1" x14ac:dyDescent="0.3">
      <c r="B22" s="17" t="s">
        <v>27</v>
      </c>
      <c r="C22" s="8" t="s">
        <v>28</v>
      </c>
      <c r="D22" s="8"/>
      <c r="E22" s="8"/>
      <c r="F22" s="8"/>
    </row>
    <row r="24" spans="2:6" ht="15" customHeight="1" x14ac:dyDescent="0.3">
      <c r="B24" s="6" t="s">
        <v>29</v>
      </c>
      <c r="C24" s="6"/>
      <c r="D24" s="6"/>
      <c r="E24" s="6"/>
      <c r="F24" s="6"/>
    </row>
    <row r="25" spans="2:6" ht="15" customHeight="1" x14ac:dyDescent="0.3">
      <c r="B25" s="6" t="s">
        <v>30</v>
      </c>
      <c r="C25" s="6"/>
      <c r="D25" s="6"/>
      <c r="E25" s="6"/>
      <c r="F25" s="6"/>
    </row>
  </sheetData>
  <mergeCells count="19">
    <mergeCell ref="C21:F21"/>
    <mergeCell ref="C22:F22"/>
    <mergeCell ref="B24:F24"/>
    <mergeCell ref="B25:F25"/>
    <mergeCell ref="C16:F16"/>
    <mergeCell ref="C17:F17"/>
    <mergeCell ref="C18:F18"/>
    <mergeCell ref="C19:F19"/>
    <mergeCell ref="C20:F20"/>
    <mergeCell ref="C11:F11"/>
    <mergeCell ref="C12:F12"/>
    <mergeCell ref="C13:F13"/>
    <mergeCell ref="C14:F14"/>
    <mergeCell ref="C15:F15"/>
    <mergeCell ref="B2:F2"/>
    <mergeCell ref="B3:F3"/>
    <mergeCell ref="B4:F4"/>
    <mergeCell ref="B6:F7"/>
    <mergeCell ref="B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5"/>
  <sheetViews>
    <sheetView showGridLines="0" zoomScaleNormal="100" workbookViewId="0"/>
  </sheetViews>
  <sheetFormatPr defaultColWidth="8.6640625" defaultRowHeight="14.4" x14ac:dyDescent="0.3"/>
  <cols>
    <col min="1" max="1" width="3" customWidth="1"/>
    <col min="2" max="2" width="10" customWidth="1"/>
    <col min="3" max="10" width="16" customWidth="1"/>
    <col min="11" max="11" width="3" customWidth="1"/>
  </cols>
  <sheetData>
    <row r="1" spans="2:10" ht="36" customHeight="1" x14ac:dyDescent="0.3">
      <c r="B1" s="5" t="s">
        <v>31</v>
      </c>
      <c r="C1" s="5"/>
      <c r="D1" s="5"/>
      <c r="E1" s="5"/>
      <c r="F1" s="5"/>
      <c r="G1" s="5"/>
      <c r="H1" s="5"/>
      <c r="I1" s="5"/>
      <c r="J1" s="5"/>
    </row>
    <row r="2" spans="2:10" ht="19.5" customHeight="1" x14ac:dyDescent="0.3">
      <c r="B2" s="4" t="s">
        <v>32</v>
      </c>
      <c r="C2" s="4"/>
      <c r="D2" s="4"/>
      <c r="E2" s="4"/>
      <c r="F2" s="4"/>
      <c r="G2" s="4"/>
      <c r="H2" s="4"/>
      <c r="I2" s="4"/>
      <c r="J2" s="4"/>
    </row>
    <row r="3" spans="2:10" ht="7.5" customHeight="1" x14ac:dyDescent="0.3"/>
    <row r="4" spans="2:10" ht="25.5" customHeight="1" x14ac:dyDescent="0.3">
      <c r="B4" s="21" t="s">
        <v>33</v>
      </c>
      <c r="C4" s="21" t="s">
        <v>34</v>
      </c>
      <c r="D4" s="21" t="s">
        <v>35</v>
      </c>
      <c r="E4" s="21" t="s">
        <v>36</v>
      </c>
      <c r="F4" s="21" t="s">
        <v>37</v>
      </c>
      <c r="G4" s="21" t="s">
        <v>38</v>
      </c>
      <c r="H4" s="21" t="s">
        <v>39</v>
      </c>
      <c r="I4" s="21" t="s">
        <v>40</v>
      </c>
      <c r="J4" s="21" t="s">
        <v>41</v>
      </c>
    </row>
    <row r="5" spans="2:10" ht="24" customHeight="1" x14ac:dyDescent="0.3">
      <c r="B5" s="22" t="s">
        <v>42</v>
      </c>
      <c r="C5" s="23" t="s">
        <v>43</v>
      </c>
      <c r="D5" s="23" t="s">
        <v>44</v>
      </c>
      <c r="E5" s="23" t="s">
        <v>44</v>
      </c>
      <c r="F5" s="23" t="s">
        <v>45</v>
      </c>
      <c r="G5" s="23" t="s">
        <v>46</v>
      </c>
      <c r="H5" s="23" t="s">
        <v>47</v>
      </c>
      <c r="I5" s="23" t="s">
        <v>47</v>
      </c>
      <c r="J5" s="23" t="s">
        <v>47</v>
      </c>
    </row>
    <row r="6" spans="2:10" ht="24" customHeight="1" x14ac:dyDescent="0.3">
      <c r="B6" s="24" t="s">
        <v>48</v>
      </c>
      <c r="C6" s="25" t="s">
        <v>49</v>
      </c>
      <c r="D6" s="25" t="s">
        <v>50</v>
      </c>
      <c r="E6" s="25" t="s">
        <v>50</v>
      </c>
      <c r="F6" s="25" t="s">
        <v>51</v>
      </c>
      <c r="G6" s="25" t="s">
        <v>52</v>
      </c>
      <c r="H6" s="25" t="s">
        <v>53</v>
      </c>
      <c r="I6" s="25" t="s">
        <v>53</v>
      </c>
      <c r="J6" s="25" t="s">
        <v>53</v>
      </c>
    </row>
    <row r="7" spans="2:10" ht="24" customHeight="1" x14ac:dyDescent="0.3">
      <c r="B7" s="26" t="s">
        <v>54</v>
      </c>
      <c r="C7" s="27" t="s">
        <v>55</v>
      </c>
      <c r="D7" s="27" t="s">
        <v>56</v>
      </c>
      <c r="E7" s="27" t="s">
        <v>56</v>
      </c>
      <c r="F7" s="27" t="s">
        <v>57</v>
      </c>
      <c r="G7" s="27" t="s">
        <v>58</v>
      </c>
      <c r="H7" s="27" t="s">
        <v>59</v>
      </c>
      <c r="I7" s="27" t="s">
        <v>59</v>
      </c>
      <c r="J7" s="27" t="s">
        <v>59</v>
      </c>
    </row>
    <row r="8" spans="2:10" ht="24" customHeight="1" x14ac:dyDescent="0.3">
      <c r="B8" s="28" t="s">
        <v>60</v>
      </c>
      <c r="C8" s="29" t="s">
        <v>61</v>
      </c>
      <c r="D8" s="29" t="s">
        <v>62</v>
      </c>
      <c r="E8" s="29" t="s">
        <v>62</v>
      </c>
      <c r="F8" s="29" t="s">
        <v>63</v>
      </c>
      <c r="G8" s="29" t="s">
        <v>64</v>
      </c>
      <c r="H8" s="29" t="s">
        <v>65</v>
      </c>
      <c r="I8" s="29" t="s">
        <v>66</v>
      </c>
      <c r="J8" s="29" t="s">
        <v>66</v>
      </c>
    </row>
    <row r="9" spans="2:10" ht="24" customHeight="1" x14ac:dyDescent="0.3">
      <c r="B9" s="30" t="s">
        <v>67</v>
      </c>
      <c r="C9" s="31" t="s">
        <v>68</v>
      </c>
      <c r="D9" s="31" t="s">
        <v>69</v>
      </c>
      <c r="E9" s="31" t="s">
        <v>69</v>
      </c>
      <c r="F9" s="31" t="s">
        <v>70</v>
      </c>
      <c r="G9" s="31" t="s">
        <v>71</v>
      </c>
      <c r="H9" s="31" t="s">
        <v>72</v>
      </c>
      <c r="I9" s="31" t="s">
        <v>73</v>
      </c>
      <c r="J9" s="31" t="s">
        <v>73</v>
      </c>
    </row>
    <row r="10" spans="2:10" ht="24" customHeight="1" x14ac:dyDescent="0.3">
      <c r="B10" s="32" t="s">
        <v>74</v>
      </c>
      <c r="C10" s="33" t="s">
        <v>75</v>
      </c>
      <c r="D10" s="33" t="s">
        <v>75</v>
      </c>
      <c r="E10" s="33" t="s">
        <v>75</v>
      </c>
      <c r="F10" s="33" t="s">
        <v>75</v>
      </c>
      <c r="G10" s="33" t="s">
        <v>76</v>
      </c>
      <c r="H10" s="33" t="s">
        <v>77</v>
      </c>
      <c r="I10" s="33" t="s">
        <v>78</v>
      </c>
      <c r="J10" s="33" t="s">
        <v>78</v>
      </c>
    </row>
    <row r="11" spans="2:10" ht="24" customHeight="1" x14ac:dyDescent="0.3">
      <c r="B11" s="34" t="s">
        <v>79</v>
      </c>
      <c r="C11" s="35" t="s">
        <v>80</v>
      </c>
      <c r="D11" s="35" t="s">
        <v>80</v>
      </c>
      <c r="E11" s="35" t="s">
        <v>80</v>
      </c>
      <c r="F11" s="35" t="s">
        <v>80</v>
      </c>
      <c r="G11" s="36" t="s">
        <v>81</v>
      </c>
      <c r="H11" s="36" t="s">
        <v>81</v>
      </c>
      <c r="I11" s="36" t="s">
        <v>82</v>
      </c>
      <c r="J11" s="36" t="s">
        <v>82</v>
      </c>
    </row>
    <row r="12" spans="2:10" ht="7.5" customHeight="1" x14ac:dyDescent="0.3"/>
    <row r="13" spans="2:10" ht="21.75" customHeight="1" x14ac:dyDescent="0.3">
      <c r="B13" s="37" t="s">
        <v>83</v>
      </c>
      <c r="C13" s="38" t="s">
        <v>84</v>
      </c>
      <c r="D13" s="38" t="s">
        <v>85</v>
      </c>
      <c r="E13" s="38" t="s">
        <v>85</v>
      </c>
      <c r="F13" s="38" t="s">
        <v>86</v>
      </c>
      <c r="G13" s="38" t="s">
        <v>87</v>
      </c>
      <c r="H13" s="38" t="s">
        <v>88</v>
      </c>
      <c r="I13" s="38" t="s">
        <v>88</v>
      </c>
      <c r="J13" s="38" t="s">
        <v>88</v>
      </c>
    </row>
    <row r="15" spans="2:10" ht="27.75" customHeight="1" x14ac:dyDescent="0.3">
      <c r="B15" s="3" t="s">
        <v>89</v>
      </c>
      <c r="C15" s="3"/>
      <c r="D15" s="3"/>
      <c r="E15" s="3"/>
      <c r="F15" s="3"/>
      <c r="G15" s="3"/>
      <c r="H15" s="3"/>
      <c r="I15" s="3"/>
      <c r="J15" s="3"/>
    </row>
  </sheetData>
  <mergeCells count="3">
    <mergeCell ref="B1:J1"/>
    <mergeCell ref="B2:J2"/>
    <mergeCell ref="B15:J1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23"/>
  <sheetViews>
    <sheetView showGridLines="0" topLeftCell="A2" zoomScaleNormal="100" workbookViewId="0"/>
  </sheetViews>
  <sheetFormatPr defaultColWidth="8.6640625" defaultRowHeight="14.4" x14ac:dyDescent="0.3"/>
  <cols>
    <col min="1" max="1" width="3" customWidth="1"/>
    <col min="2" max="2" width="28" customWidth="1"/>
    <col min="3" max="6" width="20" customWidth="1"/>
    <col min="7" max="7" width="3" customWidth="1"/>
    <col min="8" max="9" width="1" hidden="1" customWidth="1"/>
  </cols>
  <sheetData>
    <row r="1" spans="2:9" ht="36" customHeight="1" x14ac:dyDescent="0.3">
      <c r="B1" s="2" t="s">
        <v>90</v>
      </c>
      <c r="C1" s="2"/>
      <c r="D1" s="2"/>
      <c r="E1" s="2"/>
      <c r="F1" s="2"/>
    </row>
    <row r="2" spans="2:9" ht="21.75" customHeight="1" x14ac:dyDescent="0.3">
      <c r="B2" s="4" t="s">
        <v>91</v>
      </c>
      <c r="C2" s="4"/>
      <c r="D2" s="4"/>
      <c r="E2" s="4"/>
      <c r="F2" s="4"/>
    </row>
    <row r="3" spans="2:9" ht="9.75" customHeight="1" x14ac:dyDescent="0.3"/>
    <row r="4" spans="2:9" ht="18" customHeight="1" x14ac:dyDescent="0.3">
      <c r="B4" s="1" t="s">
        <v>92</v>
      </c>
      <c r="C4" s="1"/>
      <c r="D4" s="1"/>
      <c r="E4" s="1"/>
      <c r="F4" s="1"/>
    </row>
    <row r="5" spans="2:9" ht="27.75" customHeight="1" x14ac:dyDescent="0.3">
      <c r="B5" s="39" t="s">
        <v>93</v>
      </c>
      <c r="C5" s="52">
        <v>0</v>
      </c>
      <c r="D5" s="52"/>
      <c r="E5" s="52"/>
      <c r="F5" s="52"/>
    </row>
    <row r="6" spans="2:9" ht="27.75" customHeight="1" x14ac:dyDescent="0.3">
      <c r="B6" s="39" t="s">
        <v>94</v>
      </c>
      <c r="C6" s="53">
        <v>2025</v>
      </c>
      <c r="D6" s="53"/>
      <c r="E6" s="53"/>
      <c r="F6" s="53"/>
    </row>
    <row r="7" spans="2:9" ht="15.75" customHeight="1" x14ac:dyDescent="0.3">
      <c r="B7" s="54" t="s">
        <v>95</v>
      </c>
      <c r="C7" s="54"/>
      <c r="D7" s="54"/>
      <c r="E7" s="54"/>
      <c r="F7" s="54"/>
    </row>
    <row r="8" spans="2:9" ht="9.75" customHeight="1" x14ac:dyDescent="0.3"/>
    <row r="9" spans="2:9" ht="21.75" customHeight="1" x14ac:dyDescent="0.3">
      <c r="B9" s="55" t="s">
        <v>96</v>
      </c>
      <c r="C9" s="55"/>
      <c r="D9" s="55"/>
      <c r="E9" s="55"/>
      <c r="F9" s="55"/>
    </row>
    <row r="10" spans="2:9" ht="24" customHeight="1" x14ac:dyDescent="0.3">
      <c r="B10" s="40" t="s">
        <v>97</v>
      </c>
      <c r="C10" s="40" t="s">
        <v>98</v>
      </c>
      <c r="D10" s="40" t="s">
        <v>99</v>
      </c>
      <c r="E10" s="56" t="s">
        <v>100</v>
      </c>
      <c r="F10" s="56"/>
      <c r="H10">
        <f>IF($C$6=2019,0,IF($C$6=2020,0,IF($C$6=2021,0,IF($C$6=2022,0,IF($C$6=2023,0,IF($C$6=2024,0,IF($C$6=2025,0,0)))))))</f>
        <v>0</v>
      </c>
      <c r="I10">
        <f>IF($C$6=2019,3456,IF($C$6=2020,3828,IF($C$6=2021,3828,IF($C$6=2022,4380,IF($C$6=2023,4824,IF($C$6=2024,5880,IF($C$6=2025,5880,5880)))))))</f>
        <v>5880</v>
      </c>
    </row>
    <row r="11" spans="2:9" ht="21.75" customHeight="1" x14ac:dyDescent="0.3">
      <c r="B11" s="18" t="s">
        <v>101</v>
      </c>
      <c r="C11" s="41">
        <f t="shared" ref="C11:C17" si="0">MAX(0,MIN($C$5,I10)-H10)</f>
        <v>0</v>
      </c>
      <c r="D11" s="42">
        <v>0</v>
      </c>
      <c r="E11" s="57">
        <f t="shared" ref="E11:E17" si="1">C11*D11</f>
        <v>0</v>
      </c>
      <c r="F11" s="57"/>
      <c r="H11">
        <f>IF($C$6=2019,3456,IF($C$6=2020,3828,IF($C$6=2021,3828,IF($C$6=2022,4380,IF($C$6=2023,4824,IF($C$6=2024,5880,IF($C$6=2025,5880,5880)))))))</f>
        <v>5880</v>
      </c>
      <c r="I11">
        <f>IF($C$6=2019,4656,IF($C$6=2020,5028,IF($C$6=2021,5028,IF($C$6=2022,5700,IF($C$6=2023,6144,IF($C$6=2024,7200,IF($C$6=2025,7200,7200)))))))</f>
        <v>7200</v>
      </c>
    </row>
    <row r="12" spans="2:9" ht="21.75" customHeight="1" x14ac:dyDescent="0.3">
      <c r="B12" s="20" t="s">
        <v>102</v>
      </c>
      <c r="C12" s="43">
        <f t="shared" si="0"/>
        <v>0</v>
      </c>
      <c r="D12" s="44">
        <v>0.05</v>
      </c>
      <c r="E12" s="58">
        <f t="shared" si="1"/>
        <v>0</v>
      </c>
      <c r="F12" s="58"/>
      <c r="H12">
        <f>IF($C$6=2019,4656,IF($C$6=2020,5028,IF($C$6=2021,5028,IF($C$6=2022,5700,IF($C$6=2023,6144,IF($C$6=2024,7200,IF($C$6=2025,7200,7200)))))))</f>
        <v>7200</v>
      </c>
      <c r="I12">
        <f>IF($C$6=2019,6336,IF($C$6=2020,6468,IF($C$6=2021,6468,IF($C$6=2022,7260,IF($C$6=2023,7704,IF($C$6=2024,8760,IF($C$6=2025,8760,8760)))))))</f>
        <v>8760</v>
      </c>
    </row>
    <row r="13" spans="2:9" ht="21.75" customHeight="1" x14ac:dyDescent="0.3">
      <c r="B13" s="18" t="s">
        <v>103</v>
      </c>
      <c r="C13" s="41">
        <f t="shared" si="0"/>
        <v>0</v>
      </c>
      <c r="D13" s="42">
        <v>0.1</v>
      </c>
      <c r="E13" s="57">
        <f t="shared" si="1"/>
        <v>0</v>
      </c>
      <c r="F13" s="57"/>
      <c r="H13">
        <f>IF($C$6=2019,6336,IF($C$6=2020,6468,IF($C$6=2021,6468,IF($C$6=2022,7260,IF($C$6=2023,7704,IF($C$6=2024,8760,IF($C$6=2025,8760,8760)))))))</f>
        <v>8760</v>
      </c>
      <c r="I13">
        <f>IF($C$6=2019,42336,IF($C$6=2020,42468,IF($C$6=2021,42468,IF($C$6=2022,43260,IF($C$6=2023,43704,IF($C$6=2024,44760,IF($C$6=2025,46760,46760)))))))</f>
        <v>46760</v>
      </c>
    </row>
    <row r="14" spans="2:9" ht="21.75" customHeight="1" x14ac:dyDescent="0.3">
      <c r="B14" s="20" t="s">
        <v>104</v>
      </c>
      <c r="C14" s="43">
        <f t="shared" si="0"/>
        <v>0</v>
      </c>
      <c r="D14" s="44">
        <v>0.17499999999999999</v>
      </c>
      <c r="E14" s="58">
        <f t="shared" si="1"/>
        <v>0</v>
      </c>
      <c r="F14" s="58"/>
      <c r="H14">
        <f>IF($C$6=2019,42336,IF($C$6=2020,42468,IF($C$6=2021,42468,IF($C$6=2022,43260,IF($C$6=2023,43704,IF($C$6=2024,44760,IF($C$6=2025,46760,46760)))))))</f>
        <v>46760</v>
      </c>
      <c r="I14">
        <f>IF($C$6=2019,240000,IF($C$6=2020,240000,IF($C$6=2021,240000,IF($C$6=2022,240000,IF($C$6=2023,240444,IF($C$6=2024,240000,IF($C$6=2025,238760,238760)))))))</f>
        <v>238760</v>
      </c>
    </row>
    <row r="15" spans="2:9" ht="21.75" customHeight="1" x14ac:dyDescent="0.3">
      <c r="B15" s="18" t="s">
        <v>105</v>
      </c>
      <c r="C15" s="41">
        <f t="shared" si="0"/>
        <v>0</v>
      </c>
      <c r="D15" s="42">
        <v>0.25</v>
      </c>
      <c r="E15" s="57">
        <f t="shared" si="1"/>
        <v>0</v>
      </c>
      <c r="F15" s="57"/>
      <c r="H15">
        <f>IF($C$6=2019,240000,IF($C$6=2020,240000,IF($C$6=2021,240000,IF($C$6=2022,240000,IF($C$6=2023,240444,IF($C$6=2024,240000,IF($C$6=2025,238760,238760)))))))</f>
        <v>238760</v>
      </c>
      <c r="I15">
        <f>IF($C$6=2019,9999999,IF($C$6=2020,9999999,IF($C$6=2021,9999999,IF($C$6=2022,9999999,IF($C$6=2023,600000,IF($C$6=2024,600000,IF($C$6=2025,605000,605000)))))))</f>
        <v>605000</v>
      </c>
    </row>
    <row r="16" spans="2:9" ht="21.75" customHeight="1" x14ac:dyDescent="0.3">
      <c r="B16" s="20" t="s">
        <v>106</v>
      </c>
      <c r="C16" s="43">
        <f t="shared" si="0"/>
        <v>0</v>
      </c>
      <c r="D16" s="44" t="s">
        <v>107</v>
      </c>
      <c r="E16" s="58">
        <f t="shared" si="1"/>
        <v>0</v>
      </c>
      <c r="F16" s="58"/>
      <c r="H16">
        <f>IF($C$6=2019,999999,IF($C$6=2020,999999,IF($C$6=2021,999999,IF($C$6=2022,999999,IF($C$6=2023,600000,IF($C$6=2024,600000,IF($C$6=2025,605000,605000)))))))</f>
        <v>605000</v>
      </c>
      <c r="I16">
        <f>IF($C$6=2019,9999999,IF($C$6=2020,9999999,IF($C$6=2021,9999999,IF($C$6=2022,9999999,IF($C$6=2023,9999999,IF($C$6=2024,9999999,IF($C$6=2025,9999999,9999999)))))))</f>
        <v>9999999</v>
      </c>
    </row>
    <row r="17" spans="2:6" ht="21.75" customHeight="1" x14ac:dyDescent="0.3">
      <c r="B17" s="18" t="s">
        <v>108</v>
      </c>
      <c r="C17" s="41">
        <f t="shared" si="0"/>
        <v>0</v>
      </c>
      <c r="D17" s="42">
        <f>IF($C$6&lt;2023,0,0.35)</f>
        <v>0.35</v>
      </c>
      <c r="E17" s="57">
        <f t="shared" si="1"/>
        <v>0</v>
      </c>
      <c r="F17" s="57"/>
    </row>
    <row r="18" spans="2:6" ht="7.5" customHeight="1" x14ac:dyDescent="0.3"/>
    <row r="19" spans="2:6" ht="27.75" customHeight="1" x14ac:dyDescent="0.3">
      <c r="B19" s="59" t="s">
        <v>109</v>
      </c>
      <c r="C19" s="59"/>
      <c r="D19" s="59"/>
      <c r="E19" s="60">
        <f>SUM(E11:E17)</f>
        <v>0</v>
      </c>
      <c r="F19" s="60"/>
    </row>
    <row r="20" spans="2:6" ht="27.75" customHeight="1" x14ac:dyDescent="0.3">
      <c r="B20" s="61" t="s">
        <v>110</v>
      </c>
      <c r="C20" s="61"/>
      <c r="D20" s="61"/>
      <c r="E20" s="62">
        <f>IF($C$5&gt;0,SUM(E11:E17)/$C$5,0)</f>
        <v>0</v>
      </c>
      <c r="F20" s="62"/>
    </row>
    <row r="21" spans="2:6" ht="27.75" customHeight="1" x14ac:dyDescent="0.3">
      <c r="B21" s="61" t="s">
        <v>111</v>
      </c>
      <c r="C21" s="61"/>
      <c r="D21" s="61"/>
      <c r="E21" s="63">
        <f>$C$5-SUM(E11:E17)</f>
        <v>0</v>
      </c>
      <c r="F21" s="63"/>
    </row>
    <row r="23" spans="2:6" ht="15" customHeight="1" x14ac:dyDescent="0.3">
      <c r="B23" s="64" t="s">
        <v>112</v>
      </c>
      <c r="C23" s="64"/>
      <c r="D23" s="64"/>
      <c r="E23" s="64"/>
      <c r="F23" s="64"/>
    </row>
  </sheetData>
  <mergeCells count="22">
    <mergeCell ref="B23:F23"/>
    <mergeCell ref="B19:D19"/>
    <mergeCell ref="E19:F19"/>
    <mergeCell ref="B20:D20"/>
    <mergeCell ref="E20:F20"/>
    <mergeCell ref="B21:D21"/>
    <mergeCell ref="E21:F21"/>
    <mergeCell ref="E13:F13"/>
    <mergeCell ref="E14:F14"/>
    <mergeCell ref="E15:F15"/>
    <mergeCell ref="E16:F16"/>
    <mergeCell ref="E17:F17"/>
    <mergeCell ref="B7:F7"/>
    <mergeCell ref="B9:F9"/>
    <mergeCell ref="E10:F10"/>
    <mergeCell ref="E11:F11"/>
    <mergeCell ref="E12:F12"/>
    <mergeCell ref="B1:F1"/>
    <mergeCell ref="B2:F2"/>
    <mergeCell ref="B4:F4"/>
    <mergeCell ref="C5:F5"/>
    <mergeCell ref="C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21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2" customWidth="1"/>
    <col min="3" max="6" width="20" customWidth="1"/>
  </cols>
  <sheetData>
    <row r="1" spans="2:6" ht="36" customHeight="1" x14ac:dyDescent="0.3">
      <c r="B1" s="2" t="s">
        <v>113</v>
      </c>
      <c r="C1" s="2"/>
      <c r="D1" s="2"/>
      <c r="E1" s="2"/>
      <c r="F1" s="2"/>
    </row>
    <row r="2" spans="2:6" ht="25.5" customHeight="1" x14ac:dyDescent="0.3">
      <c r="B2" s="65" t="s">
        <v>114</v>
      </c>
      <c r="C2" s="65"/>
      <c r="D2" s="65"/>
      <c r="E2" s="65"/>
      <c r="F2" s="65"/>
    </row>
    <row r="3" spans="2:6" ht="7.5" customHeight="1" x14ac:dyDescent="0.3"/>
    <row r="4" spans="2:6" ht="15" customHeight="1" x14ac:dyDescent="0.3">
      <c r="B4" s="1" t="s">
        <v>115</v>
      </c>
      <c r="C4" s="1"/>
      <c r="D4" s="1"/>
      <c r="E4" s="1"/>
      <c r="F4" s="1"/>
    </row>
    <row r="5" spans="2:6" ht="27.75" customHeight="1" x14ac:dyDescent="0.3">
      <c r="B5" s="39" t="s">
        <v>93</v>
      </c>
      <c r="C5" s="52">
        <v>0</v>
      </c>
      <c r="D5" s="52"/>
      <c r="E5" s="52"/>
      <c r="F5" s="52"/>
    </row>
    <row r="6" spans="2:6" ht="7.5" customHeight="1" x14ac:dyDescent="0.3"/>
    <row r="7" spans="2:6" ht="21.75" customHeight="1" x14ac:dyDescent="0.3">
      <c r="B7" s="55" t="s">
        <v>116</v>
      </c>
      <c r="C7" s="55"/>
      <c r="D7" s="55"/>
      <c r="E7" s="55"/>
      <c r="F7" s="55"/>
    </row>
    <row r="8" spans="2:6" ht="27.75" customHeight="1" x14ac:dyDescent="0.3">
      <c r="B8" s="45" t="s">
        <v>117</v>
      </c>
      <c r="C8" s="45" t="s">
        <v>118</v>
      </c>
      <c r="D8" s="45" t="s">
        <v>99</v>
      </c>
      <c r="E8" s="45" t="s">
        <v>100</v>
      </c>
      <c r="F8" s="45" t="s">
        <v>119</v>
      </c>
    </row>
    <row r="9" spans="2:6" ht="24" customHeight="1" x14ac:dyDescent="0.3">
      <c r="B9" s="46" t="s">
        <v>120</v>
      </c>
      <c r="C9" s="47">
        <f>MAX(0,MIN($C$5,3456)-0)</f>
        <v>0</v>
      </c>
      <c r="D9" s="48">
        <v>0</v>
      </c>
      <c r="E9" s="47">
        <f t="shared" ref="E9:E14" si="0">C9*D9</f>
        <v>0</v>
      </c>
      <c r="F9" s="47">
        <f>E9</f>
        <v>0</v>
      </c>
    </row>
    <row r="10" spans="2:6" ht="24" customHeight="1" x14ac:dyDescent="0.3">
      <c r="B10" s="49" t="s">
        <v>121</v>
      </c>
      <c r="C10" s="50">
        <f>MAX(0,MIN($C$5,4656)-3456)</f>
        <v>0</v>
      </c>
      <c r="D10" s="51">
        <v>0.05</v>
      </c>
      <c r="E10" s="50">
        <f t="shared" si="0"/>
        <v>0</v>
      </c>
      <c r="F10" s="50">
        <f>F9+E10</f>
        <v>0</v>
      </c>
    </row>
    <row r="11" spans="2:6" ht="24" customHeight="1" x14ac:dyDescent="0.3">
      <c r="B11" s="46" t="s">
        <v>122</v>
      </c>
      <c r="C11" s="47">
        <f>MAX(0,MIN($C$5,6336)-4656)</f>
        <v>0</v>
      </c>
      <c r="D11" s="48">
        <v>0.1</v>
      </c>
      <c r="E11" s="47">
        <f t="shared" si="0"/>
        <v>0</v>
      </c>
      <c r="F11" s="47">
        <f>F10+E11</f>
        <v>0</v>
      </c>
    </row>
    <row r="12" spans="2:6" ht="24" customHeight="1" x14ac:dyDescent="0.3">
      <c r="B12" s="49" t="s">
        <v>123</v>
      </c>
      <c r="C12" s="50">
        <f>MAX(0,MIN($C$5,42336)-6336)</f>
        <v>0</v>
      </c>
      <c r="D12" s="51">
        <v>0.17499999999999999</v>
      </c>
      <c r="E12" s="50">
        <f t="shared" si="0"/>
        <v>0</v>
      </c>
      <c r="F12" s="50">
        <f>F11+E12</f>
        <v>0</v>
      </c>
    </row>
    <row r="13" spans="2:6" ht="24" customHeight="1" x14ac:dyDescent="0.3">
      <c r="B13" s="46" t="s">
        <v>124</v>
      </c>
      <c r="C13" s="47">
        <f>MAX(0,MIN($C$5,240000)-42336)</f>
        <v>0</v>
      </c>
      <c r="D13" s="48">
        <v>0.25</v>
      </c>
      <c r="E13" s="47">
        <f t="shared" si="0"/>
        <v>0</v>
      </c>
      <c r="F13" s="47">
        <f>F12+E13</f>
        <v>0</v>
      </c>
    </row>
    <row r="14" spans="2:6" ht="24" customHeight="1" x14ac:dyDescent="0.3">
      <c r="B14" s="49" t="s">
        <v>125</v>
      </c>
      <c r="C14" s="50">
        <f>MAX(0,$C$5-240000)</f>
        <v>0</v>
      </c>
      <c r="D14" s="51">
        <v>0.3</v>
      </c>
      <c r="E14" s="50">
        <f t="shared" si="0"/>
        <v>0</v>
      </c>
      <c r="F14" s="50">
        <f>F13+E14</f>
        <v>0</v>
      </c>
    </row>
    <row r="15" spans="2:6" ht="7.5" customHeight="1" x14ac:dyDescent="0.3"/>
    <row r="16" spans="2:6" ht="27.75" customHeight="1" x14ac:dyDescent="0.3">
      <c r="B16" s="59" t="s">
        <v>126</v>
      </c>
      <c r="C16" s="59"/>
      <c r="D16" s="59"/>
      <c r="E16" s="60">
        <f>F14</f>
        <v>0</v>
      </c>
      <c r="F16" s="60"/>
    </row>
    <row r="17" spans="2:6" ht="27.75" customHeight="1" x14ac:dyDescent="0.3">
      <c r="B17" s="61" t="s">
        <v>110</v>
      </c>
      <c r="C17" s="61"/>
      <c r="D17" s="61"/>
      <c r="E17" s="62">
        <f>IF($C$5&gt;0,F14/$C$5,0)</f>
        <v>0</v>
      </c>
      <c r="F17" s="62"/>
    </row>
    <row r="18" spans="2:6" ht="27.75" customHeight="1" x14ac:dyDescent="0.3">
      <c r="B18" s="61" t="s">
        <v>111</v>
      </c>
      <c r="C18" s="61"/>
      <c r="D18" s="61"/>
      <c r="E18" s="63">
        <f>$C$5-F14</f>
        <v>0</v>
      </c>
      <c r="F18" s="63"/>
    </row>
    <row r="20" spans="2:6" ht="15" customHeight="1" x14ac:dyDescent="0.3">
      <c r="B20" s="66" t="s">
        <v>127</v>
      </c>
      <c r="C20" s="66"/>
      <c r="D20" s="66"/>
      <c r="E20" s="66"/>
      <c r="F20" s="66"/>
    </row>
    <row r="21" spans="2:6" ht="15" customHeight="1" x14ac:dyDescent="0.3">
      <c r="B21" s="67" t="s">
        <v>128</v>
      </c>
      <c r="C21" s="67"/>
      <c r="D21" s="67"/>
      <c r="E21" s="67"/>
      <c r="F21" s="67"/>
    </row>
  </sheetData>
  <mergeCells count="13">
    <mergeCell ref="B20:F20"/>
    <mergeCell ref="B21:F21"/>
    <mergeCell ref="B16:D16"/>
    <mergeCell ref="E16:F16"/>
    <mergeCell ref="B17:D17"/>
    <mergeCell ref="E17:F17"/>
    <mergeCell ref="B18:D18"/>
    <mergeCell ref="E18:F18"/>
    <mergeCell ref="B1:F1"/>
    <mergeCell ref="B2:F2"/>
    <mergeCell ref="B4:F4"/>
    <mergeCell ref="C5:F5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F21"/>
  <sheetViews>
    <sheetView showGridLines="0" zoomScale="70" zoomScaleNormal="70" workbookViewId="0"/>
  </sheetViews>
  <sheetFormatPr defaultColWidth="8.6640625" defaultRowHeight="14.4" x14ac:dyDescent="0.3"/>
  <cols>
    <col min="1" max="1" width="4" customWidth="1"/>
    <col min="2" max="2" width="30" customWidth="1"/>
    <col min="3" max="6" width="20" customWidth="1"/>
  </cols>
  <sheetData>
    <row r="1" spans="2:6" ht="36" customHeight="1" x14ac:dyDescent="0.3">
      <c r="B1" s="2" t="s">
        <v>113</v>
      </c>
      <c r="C1" s="2"/>
      <c r="D1" s="2"/>
      <c r="E1" s="2"/>
      <c r="F1" s="2"/>
    </row>
    <row r="2" spans="2:6" ht="25.5" customHeight="1" x14ac:dyDescent="0.3">
      <c r="B2" s="65" t="s">
        <v>129</v>
      </c>
      <c r="C2" s="65"/>
      <c r="D2" s="65"/>
      <c r="E2" s="65"/>
      <c r="F2" s="65"/>
    </row>
    <row r="3" spans="2:6" ht="7.5" customHeight="1" x14ac:dyDescent="0.3"/>
    <row r="4" spans="2:6" ht="15" customHeight="1" x14ac:dyDescent="0.3">
      <c r="B4" s="1" t="s">
        <v>115</v>
      </c>
      <c r="C4" s="1"/>
      <c r="D4" s="1"/>
      <c r="E4" s="1"/>
      <c r="F4" s="1"/>
    </row>
    <row r="5" spans="2:6" ht="27.75" customHeight="1" x14ac:dyDescent="0.3">
      <c r="B5" s="39" t="s">
        <v>93</v>
      </c>
      <c r="C5" s="68">
        <v>0</v>
      </c>
      <c r="D5" s="68"/>
      <c r="E5" s="68"/>
      <c r="F5" s="68"/>
    </row>
    <row r="6" spans="2:6" ht="7.5" customHeight="1" x14ac:dyDescent="0.3"/>
    <row r="7" spans="2:6" ht="21.75" customHeight="1" x14ac:dyDescent="0.3">
      <c r="B7" s="55" t="s">
        <v>116</v>
      </c>
      <c r="C7" s="55"/>
      <c r="D7" s="55"/>
      <c r="E7" s="55"/>
      <c r="F7" s="55"/>
    </row>
    <row r="8" spans="2:6" ht="27.75" customHeight="1" x14ac:dyDescent="0.3">
      <c r="B8" s="45" t="s">
        <v>117</v>
      </c>
      <c r="C8" s="45" t="s">
        <v>118</v>
      </c>
      <c r="D8" s="45" t="s">
        <v>99</v>
      </c>
      <c r="E8" s="45" t="s">
        <v>100</v>
      </c>
      <c r="F8" s="45" t="s">
        <v>119</v>
      </c>
    </row>
    <row r="9" spans="2:6" ht="24" customHeight="1" x14ac:dyDescent="0.3">
      <c r="B9" s="46" t="s">
        <v>130</v>
      </c>
      <c r="C9" s="47">
        <f>MAX(0,MIN($C$5,3828)-0)</f>
        <v>0</v>
      </c>
      <c r="D9" s="48">
        <v>0</v>
      </c>
      <c r="E9" s="47">
        <f t="shared" ref="E9:E14" si="0">C9*D9</f>
        <v>0</v>
      </c>
      <c r="F9" s="47">
        <f>E9</f>
        <v>0</v>
      </c>
    </row>
    <row r="10" spans="2:6" ht="24" customHeight="1" x14ac:dyDescent="0.3">
      <c r="B10" s="49" t="s">
        <v>121</v>
      </c>
      <c r="C10" s="50">
        <f>MAX(0,MIN($C$5,5028)-3828)</f>
        <v>0</v>
      </c>
      <c r="D10" s="51">
        <v>0.05</v>
      </c>
      <c r="E10" s="50">
        <f t="shared" si="0"/>
        <v>0</v>
      </c>
      <c r="F10" s="50">
        <f>F9+E10</f>
        <v>0</v>
      </c>
    </row>
    <row r="11" spans="2:6" ht="24" customHeight="1" x14ac:dyDescent="0.3">
      <c r="B11" s="46" t="s">
        <v>131</v>
      </c>
      <c r="C11" s="47">
        <f>MAX(0,MIN($C$5,6468)-5028)</f>
        <v>0</v>
      </c>
      <c r="D11" s="48">
        <v>0.1</v>
      </c>
      <c r="E11" s="47">
        <f t="shared" si="0"/>
        <v>0</v>
      </c>
      <c r="F11" s="47">
        <f>F10+E11</f>
        <v>0</v>
      </c>
    </row>
    <row r="12" spans="2:6" ht="24" customHeight="1" x14ac:dyDescent="0.3">
      <c r="B12" s="49" t="s">
        <v>123</v>
      </c>
      <c r="C12" s="50">
        <f>MAX(0,MIN($C$5,42468)-6468)</f>
        <v>0</v>
      </c>
      <c r="D12" s="51">
        <v>0.17499999999999999</v>
      </c>
      <c r="E12" s="50">
        <f t="shared" si="0"/>
        <v>0</v>
      </c>
      <c r="F12" s="50">
        <f>F11+E12</f>
        <v>0</v>
      </c>
    </row>
    <row r="13" spans="2:6" ht="24" customHeight="1" x14ac:dyDescent="0.3">
      <c r="B13" s="46" t="s">
        <v>132</v>
      </c>
      <c r="C13" s="47">
        <f>MAX(0,MIN($C$5,240000)-42468)</f>
        <v>0</v>
      </c>
      <c r="D13" s="48">
        <v>0.25</v>
      </c>
      <c r="E13" s="47">
        <f t="shared" si="0"/>
        <v>0</v>
      </c>
      <c r="F13" s="47">
        <f>F12+E13</f>
        <v>0</v>
      </c>
    </row>
    <row r="14" spans="2:6" ht="24" customHeight="1" x14ac:dyDescent="0.3">
      <c r="B14" s="49" t="s">
        <v>125</v>
      </c>
      <c r="C14" s="50">
        <f>MAX(0,$C$5-240000)</f>
        <v>0</v>
      </c>
      <c r="D14" s="51">
        <v>0.3</v>
      </c>
      <c r="E14" s="50">
        <f t="shared" si="0"/>
        <v>0</v>
      </c>
      <c r="F14" s="50">
        <f>F13+E14</f>
        <v>0</v>
      </c>
    </row>
    <row r="15" spans="2:6" ht="7.5" customHeight="1" x14ac:dyDescent="0.3"/>
    <row r="16" spans="2:6" ht="27.75" customHeight="1" x14ac:dyDescent="0.3">
      <c r="B16" s="69" t="s">
        <v>126</v>
      </c>
      <c r="C16" s="69"/>
      <c r="D16" s="69"/>
      <c r="E16" s="70">
        <f>F14</f>
        <v>0</v>
      </c>
      <c r="F16" s="70"/>
    </row>
    <row r="17" spans="2:6" ht="27.75" customHeight="1" x14ac:dyDescent="0.3">
      <c r="B17" s="71" t="s">
        <v>110</v>
      </c>
      <c r="C17" s="71"/>
      <c r="D17" s="71"/>
      <c r="E17" s="72">
        <f>IF($C$5&gt;0,F14/$C$5,0)</f>
        <v>0</v>
      </c>
      <c r="F17" s="72"/>
    </row>
    <row r="18" spans="2:6" ht="27.75" customHeight="1" x14ac:dyDescent="0.3">
      <c r="B18" s="71" t="s">
        <v>111</v>
      </c>
      <c r="C18" s="71"/>
      <c r="D18" s="71"/>
      <c r="E18" s="73">
        <f>$C$5-F14</f>
        <v>0</v>
      </c>
      <c r="F18" s="73"/>
    </row>
    <row r="20" spans="2:6" ht="18" customHeight="1" x14ac:dyDescent="0.3">
      <c r="B20" s="54" t="s">
        <v>127</v>
      </c>
      <c r="C20" s="54"/>
      <c r="D20" s="54"/>
      <c r="E20" s="54"/>
      <c r="F20" s="54"/>
    </row>
    <row r="21" spans="2:6" ht="15.75" customHeight="1" x14ac:dyDescent="0.3">
      <c r="B21" s="74" t="s">
        <v>133</v>
      </c>
      <c r="C21" s="74"/>
      <c r="D21" s="74"/>
      <c r="E21" s="74"/>
      <c r="F21" s="74"/>
    </row>
  </sheetData>
  <mergeCells count="13">
    <mergeCell ref="B20:F20"/>
    <mergeCell ref="B21:F21"/>
    <mergeCell ref="B16:D16"/>
    <mergeCell ref="E16:F16"/>
    <mergeCell ref="B17:D17"/>
    <mergeCell ref="E17:F17"/>
    <mergeCell ref="B18:D18"/>
    <mergeCell ref="E18:F18"/>
    <mergeCell ref="B1:F1"/>
    <mergeCell ref="B2:F2"/>
    <mergeCell ref="B4:F4"/>
    <mergeCell ref="C5:F5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21"/>
  <sheetViews>
    <sheetView showGridLines="0" zoomScaleNormal="100" workbookViewId="0"/>
  </sheetViews>
  <sheetFormatPr defaultColWidth="8.6640625" defaultRowHeight="14.4" x14ac:dyDescent="0.3"/>
  <cols>
    <col min="1" max="1" width="4" customWidth="1"/>
    <col min="2" max="2" width="30" customWidth="1"/>
    <col min="3" max="6" width="20" customWidth="1"/>
  </cols>
  <sheetData>
    <row r="1" spans="2:6" ht="36" customHeight="1" x14ac:dyDescent="0.3">
      <c r="B1" s="2" t="s">
        <v>113</v>
      </c>
      <c r="C1" s="2"/>
      <c r="D1" s="2"/>
      <c r="E1" s="2"/>
      <c r="F1" s="2"/>
    </row>
    <row r="2" spans="2:6" ht="25.5" customHeight="1" x14ac:dyDescent="0.3">
      <c r="B2" s="65" t="s">
        <v>134</v>
      </c>
      <c r="C2" s="65"/>
      <c r="D2" s="65"/>
      <c r="E2" s="65"/>
      <c r="F2" s="65"/>
    </row>
    <row r="3" spans="2:6" ht="7.5" customHeight="1" x14ac:dyDescent="0.3"/>
    <row r="4" spans="2:6" ht="15" customHeight="1" x14ac:dyDescent="0.3">
      <c r="B4" s="1" t="s">
        <v>115</v>
      </c>
      <c r="C4" s="1"/>
      <c r="D4" s="1"/>
      <c r="E4" s="1"/>
      <c r="F4" s="1"/>
    </row>
    <row r="5" spans="2:6" ht="27.75" customHeight="1" x14ac:dyDescent="0.3">
      <c r="B5" s="39" t="s">
        <v>93</v>
      </c>
      <c r="C5" s="68">
        <v>0</v>
      </c>
      <c r="D5" s="68"/>
      <c r="E5" s="68"/>
      <c r="F5" s="68"/>
    </row>
    <row r="6" spans="2:6" ht="7.5" customHeight="1" x14ac:dyDescent="0.3"/>
    <row r="7" spans="2:6" ht="21.75" customHeight="1" x14ac:dyDescent="0.3">
      <c r="B7" s="55" t="s">
        <v>116</v>
      </c>
      <c r="C7" s="55"/>
      <c r="D7" s="55"/>
      <c r="E7" s="55"/>
      <c r="F7" s="55"/>
    </row>
    <row r="8" spans="2:6" ht="27.75" customHeight="1" x14ac:dyDescent="0.3">
      <c r="B8" s="45" t="s">
        <v>117</v>
      </c>
      <c r="C8" s="45" t="s">
        <v>118</v>
      </c>
      <c r="D8" s="45" t="s">
        <v>99</v>
      </c>
      <c r="E8" s="45" t="s">
        <v>100</v>
      </c>
      <c r="F8" s="45" t="s">
        <v>119</v>
      </c>
    </row>
    <row r="9" spans="2:6" ht="24" customHeight="1" x14ac:dyDescent="0.3">
      <c r="B9" s="46" t="s">
        <v>130</v>
      </c>
      <c r="C9" s="47">
        <f>MAX(0,MIN($C$5,3828)-0)</f>
        <v>0</v>
      </c>
      <c r="D9" s="48">
        <v>0</v>
      </c>
      <c r="E9" s="47">
        <f t="shared" ref="E9:E14" si="0">C9*D9</f>
        <v>0</v>
      </c>
      <c r="F9" s="47">
        <f>E9</f>
        <v>0</v>
      </c>
    </row>
    <row r="10" spans="2:6" ht="24" customHeight="1" x14ac:dyDescent="0.3">
      <c r="B10" s="49" t="s">
        <v>121</v>
      </c>
      <c r="C10" s="50">
        <f>MAX(0,MIN($C$5,5028)-3828)</f>
        <v>0</v>
      </c>
      <c r="D10" s="51">
        <v>0.05</v>
      </c>
      <c r="E10" s="50">
        <f t="shared" si="0"/>
        <v>0</v>
      </c>
      <c r="F10" s="50">
        <f>F9+E10</f>
        <v>0</v>
      </c>
    </row>
    <row r="11" spans="2:6" ht="24" customHeight="1" x14ac:dyDescent="0.3">
      <c r="B11" s="46" t="s">
        <v>131</v>
      </c>
      <c r="C11" s="47">
        <f>MAX(0,MIN($C$5,6468)-5028)</f>
        <v>0</v>
      </c>
      <c r="D11" s="48">
        <v>0.1</v>
      </c>
      <c r="E11" s="47">
        <f t="shared" si="0"/>
        <v>0</v>
      </c>
      <c r="F11" s="47">
        <f>F10+E11</f>
        <v>0</v>
      </c>
    </row>
    <row r="12" spans="2:6" ht="24" customHeight="1" x14ac:dyDescent="0.3">
      <c r="B12" s="49" t="s">
        <v>123</v>
      </c>
      <c r="C12" s="50">
        <f>MAX(0,MIN($C$5,42468)-6468)</f>
        <v>0</v>
      </c>
      <c r="D12" s="51">
        <v>0.17499999999999999</v>
      </c>
      <c r="E12" s="50">
        <f t="shared" si="0"/>
        <v>0</v>
      </c>
      <c r="F12" s="50">
        <f>F11+E12</f>
        <v>0</v>
      </c>
    </row>
    <row r="13" spans="2:6" ht="24" customHeight="1" x14ac:dyDescent="0.3">
      <c r="B13" s="46" t="s">
        <v>132</v>
      </c>
      <c r="C13" s="47">
        <f>MAX(0,MIN($C$5,240000)-42468)</f>
        <v>0</v>
      </c>
      <c r="D13" s="48">
        <v>0.25</v>
      </c>
      <c r="E13" s="47">
        <f t="shared" si="0"/>
        <v>0</v>
      </c>
      <c r="F13" s="47">
        <f>F12+E13</f>
        <v>0</v>
      </c>
    </row>
    <row r="14" spans="2:6" ht="24" customHeight="1" x14ac:dyDescent="0.3">
      <c r="B14" s="49" t="s">
        <v>125</v>
      </c>
      <c r="C14" s="50">
        <f>MAX(0,$C$5-240000)</f>
        <v>0</v>
      </c>
      <c r="D14" s="51">
        <v>0.3</v>
      </c>
      <c r="E14" s="50">
        <f t="shared" si="0"/>
        <v>0</v>
      </c>
      <c r="F14" s="50">
        <f>F13+E14</f>
        <v>0</v>
      </c>
    </row>
    <row r="15" spans="2:6" ht="7.5" customHeight="1" x14ac:dyDescent="0.3"/>
    <row r="16" spans="2:6" ht="27.75" customHeight="1" x14ac:dyDescent="0.3">
      <c r="B16" s="69" t="s">
        <v>126</v>
      </c>
      <c r="C16" s="69"/>
      <c r="D16" s="69"/>
      <c r="E16" s="70">
        <f>F14</f>
        <v>0</v>
      </c>
      <c r="F16" s="70"/>
    </row>
    <row r="17" spans="2:6" ht="27.75" customHeight="1" x14ac:dyDescent="0.3">
      <c r="B17" s="71" t="s">
        <v>110</v>
      </c>
      <c r="C17" s="71"/>
      <c r="D17" s="71"/>
      <c r="E17" s="72">
        <f>IF($C$5&gt;0,F14/$C$5,0)</f>
        <v>0</v>
      </c>
      <c r="F17" s="72"/>
    </row>
    <row r="18" spans="2:6" ht="27.75" customHeight="1" x14ac:dyDescent="0.3">
      <c r="B18" s="71" t="s">
        <v>111</v>
      </c>
      <c r="C18" s="71"/>
      <c r="D18" s="71"/>
      <c r="E18" s="73">
        <f>$C$5-F14</f>
        <v>0</v>
      </c>
      <c r="F18" s="73"/>
    </row>
    <row r="20" spans="2:6" ht="18" customHeight="1" x14ac:dyDescent="0.3">
      <c r="B20" s="54" t="s">
        <v>135</v>
      </c>
      <c r="C20" s="54"/>
      <c r="D20" s="54"/>
      <c r="E20" s="54"/>
      <c r="F20" s="54"/>
    </row>
    <row r="21" spans="2:6" ht="15.75" customHeight="1" x14ac:dyDescent="0.3">
      <c r="B21" s="74" t="s">
        <v>136</v>
      </c>
      <c r="C21" s="74"/>
      <c r="D21" s="74"/>
      <c r="E21" s="74"/>
      <c r="F21" s="74"/>
    </row>
  </sheetData>
  <mergeCells count="13">
    <mergeCell ref="B20:F20"/>
    <mergeCell ref="B21:F21"/>
    <mergeCell ref="B16:D16"/>
    <mergeCell ref="E16:F16"/>
    <mergeCell ref="B17:D17"/>
    <mergeCell ref="E17:F17"/>
    <mergeCell ref="B18:D18"/>
    <mergeCell ref="E18:F18"/>
    <mergeCell ref="B1:F1"/>
    <mergeCell ref="B2:F2"/>
    <mergeCell ref="B4:F4"/>
    <mergeCell ref="C5:F5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F21"/>
  <sheetViews>
    <sheetView showGridLines="0" topLeftCell="A2" zoomScale="90" zoomScaleNormal="90" workbookViewId="0"/>
  </sheetViews>
  <sheetFormatPr defaultColWidth="8.6640625" defaultRowHeight="14.4" x14ac:dyDescent="0.3"/>
  <cols>
    <col min="1" max="1" width="4" customWidth="1"/>
    <col min="2" max="2" width="30" customWidth="1"/>
    <col min="3" max="6" width="20" customWidth="1"/>
  </cols>
  <sheetData>
    <row r="1" spans="2:6" ht="36" customHeight="1" x14ac:dyDescent="0.3">
      <c r="B1" s="2" t="s">
        <v>113</v>
      </c>
      <c r="C1" s="2"/>
      <c r="D1" s="2"/>
      <c r="E1" s="2"/>
      <c r="F1" s="2"/>
    </row>
    <row r="2" spans="2:6" ht="25.5" customHeight="1" x14ac:dyDescent="0.3">
      <c r="B2" s="65" t="s">
        <v>137</v>
      </c>
      <c r="C2" s="65"/>
      <c r="D2" s="65"/>
      <c r="E2" s="65"/>
      <c r="F2" s="65"/>
    </row>
    <row r="3" spans="2:6" ht="7.5" customHeight="1" x14ac:dyDescent="0.3"/>
    <row r="4" spans="2:6" ht="15" customHeight="1" x14ac:dyDescent="0.3">
      <c r="B4" s="1" t="s">
        <v>115</v>
      </c>
      <c r="C4" s="1"/>
      <c r="D4" s="1"/>
      <c r="E4" s="1"/>
      <c r="F4" s="1"/>
    </row>
    <row r="5" spans="2:6" ht="27.75" customHeight="1" x14ac:dyDescent="0.3">
      <c r="B5" s="39" t="s">
        <v>93</v>
      </c>
      <c r="C5" s="68">
        <v>0</v>
      </c>
      <c r="D5" s="68"/>
      <c r="E5" s="68"/>
      <c r="F5" s="68"/>
    </row>
    <row r="6" spans="2:6" ht="7.5" customHeight="1" x14ac:dyDescent="0.3"/>
    <row r="7" spans="2:6" ht="21.75" customHeight="1" x14ac:dyDescent="0.3">
      <c r="B7" s="55" t="s">
        <v>116</v>
      </c>
      <c r="C7" s="55"/>
      <c r="D7" s="55"/>
      <c r="E7" s="55"/>
      <c r="F7" s="55"/>
    </row>
    <row r="8" spans="2:6" ht="27.75" customHeight="1" x14ac:dyDescent="0.3">
      <c r="B8" s="45" t="s">
        <v>117</v>
      </c>
      <c r="C8" s="45" t="s">
        <v>118</v>
      </c>
      <c r="D8" s="45" t="s">
        <v>99</v>
      </c>
      <c r="E8" s="45" t="s">
        <v>100</v>
      </c>
      <c r="F8" s="45" t="s">
        <v>119</v>
      </c>
    </row>
    <row r="9" spans="2:6" ht="24" customHeight="1" x14ac:dyDescent="0.3">
      <c r="B9" s="46" t="s">
        <v>138</v>
      </c>
      <c r="C9" s="47">
        <f>MAX(0,MIN($C$5,4380)-0)</f>
        <v>0</v>
      </c>
      <c r="D9" s="48">
        <v>0</v>
      </c>
      <c r="E9" s="47">
        <f t="shared" ref="E9:E14" si="0">C9*D9</f>
        <v>0</v>
      </c>
      <c r="F9" s="47">
        <f>E9</f>
        <v>0</v>
      </c>
    </row>
    <row r="10" spans="2:6" ht="24" customHeight="1" x14ac:dyDescent="0.3">
      <c r="B10" s="49" t="s">
        <v>139</v>
      </c>
      <c r="C10" s="50">
        <f>MAX(0,MIN($C$5,5700)-4380)</f>
        <v>0</v>
      </c>
      <c r="D10" s="51">
        <v>0.05</v>
      </c>
      <c r="E10" s="50">
        <f t="shared" si="0"/>
        <v>0</v>
      </c>
      <c r="F10" s="50">
        <f>F9+E10</f>
        <v>0</v>
      </c>
    </row>
    <row r="11" spans="2:6" ht="24" customHeight="1" x14ac:dyDescent="0.3">
      <c r="B11" s="46" t="s">
        <v>140</v>
      </c>
      <c r="C11" s="47">
        <f>MAX(0,MIN($C$5,7260)-5700)</f>
        <v>0</v>
      </c>
      <c r="D11" s="48">
        <v>0.1</v>
      </c>
      <c r="E11" s="47">
        <f t="shared" si="0"/>
        <v>0</v>
      </c>
      <c r="F11" s="47">
        <f>F10+E11</f>
        <v>0</v>
      </c>
    </row>
    <row r="12" spans="2:6" ht="24" customHeight="1" x14ac:dyDescent="0.3">
      <c r="B12" s="49" t="s">
        <v>123</v>
      </c>
      <c r="C12" s="50">
        <f>MAX(0,MIN($C$5,43260)-7260)</f>
        <v>0</v>
      </c>
      <c r="D12" s="51">
        <v>0.17499999999999999</v>
      </c>
      <c r="E12" s="50">
        <f t="shared" si="0"/>
        <v>0</v>
      </c>
      <c r="F12" s="50">
        <f>F11+E12</f>
        <v>0</v>
      </c>
    </row>
    <row r="13" spans="2:6" ht="24" customHeight="1" x14ac:dyDescent="0.3">
      <c r="B13" s="46" t="s">
        <v>141</v>
      </c>
      <c r="C13" s="47">
        <f>MAX(0,MIN($C$5,240000)-43260)</f>
        <v>0</v>
      </c>
      <c r="D13" s="48">
        <v>0.25</v>
      </c>
      <c r="E13" s="47">
        <f t="shared" si="0"/>
        <v>0</v>
      </c>
      <c r="F13" s="47">
        <f>F12+E13</f>
        <v>0</v>
      </c>
    </row>
    <row r="14" spans="2:6" ht="24" customHeight="1" x14ac:dyDescent="0.3">
      <c r="B14" s="49" t="s">
        <v>125</v>
      </c>
      <c r="C14" s="50">
        <f>MAX(0,$C$5-240000)</f>
        <v>0</v>
      </c>
      <c r="D14" s="51">
        <v>0.3</v>
      </c>
      <c r="E14" s="50">
        <f t="shared" si="0"/>
        <v>0</v>
      </c>
      <c r="F14" s="50">
        <f>F13+E14</f>
        <v>0</v>
      </c>
    </row>
    <row r="15" spans="2:6" ht="7.5" customHeight="1" x14ac:dyDescent="0.3"/>
    <row r="16" spans="2:6" ht="27.75" customHeight="1" x14ac:dyDescent="0.3">
      <c r="B16" s="69" t="s">
        <v>126</v>
      </c>
      <c r="C16" s="69"/>
      <c r="D16" s="69"/>
      <c r="E16" s="70">
        <f>F14</f>
        <v>0</v>
      </c>
      <c r="F16" s="70"/>
    </row>
    <row r="17" spans="2:6" ht="27.75" customHeight="1" x14ac:dyDescent="0.3">
      <c r="B17" s="71" t="s">
        <v>110</v>
      </c>
      <c r="C17" s="71"/>
      <c r="D17" s="71"/>
      <c r="E17" s="72">
        <f>IF($C$5&gt;0,F14/$C$5,0)</f>
        <v>0</v>
      </c>
      <c r="F17" s="72"/>
    </row>
    <row r="18" spans="2:6" ht="27.75" customHeight="1" x14ac:dyDescent="0.3">
      <c r="B18" s="71" t="s">
        <v>111</v>
      </c>
      <c r="C18" s="71"/>
      <c r="D18" s="71"/>
      <c r="E18" s="73">
        <f>$C$5-F14</f>
        <v>0</v>
      </c>
      <c r="F18" s="73"/>
    </row>
    <row r="20" spans="2:6" ht="18" customHeight="1" x14ac:dyDescent="0.3">
      <c r="B20" s="54" t="s">
        <v>127</v>
      </c>
      <c r="C20" s="54"/>
      <c r="D20" s="54"/>
      <c r="E20" s="54"/>
      <c r="F20" s="54"/>
    </row>
    <row r="21" spans="2:6" ht="15.75" customHeight="1" x14ac:dyDescent="0.3">
      <c r="B21" s="74" t="s">
        <v>142</v>
      </c>
      <c r="C21" s="74"/>
      <c r="D21" s="74"/>
      <c r="E21" s="74"/>
      <c r="F21" s="74"/>
    </row>
  </sheetData>
  <mergeCells count="13">
    <mergeCell ref="B20:F20"/>
    <mergeCell ref="B21:F21"/>
    <mergeCell ref="B16:D16"/>
    <mergeCell ref="E16:F16"/>
    <mergeCell ref="B17:D17"/>
    <mergeCell ref="E17:F17"/>
    <mergeCell ref="B18:D18"/>
    <mergeCell ref="E18:F18"/>
    <mergeCell ref="B1:F1"/>
    <mergeCell ref="B2:F2"/>
    <mergeCell ref="B4:F4"/>
    <mergeCell ref="C5:F5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F22"/>
  <sheetViews>
    <sheetView showGridLines="0" zoomScale="80" zoomScaleNormal="80" workbookViewId="0"/>
  </sheetViews>
  <sheetFormatPr defaultColWidth="8.6640625" defaultRowHeight="14.4" x14ac:dyDescent="0.3"/>
  <cols>
    <col min="1" max="1" width="4" customWidth="1"/>
    <col min="2" max="2" width="30" customWidth="1"/>
    <col min="3" max="6" width="20" customWidth="1"/>
  </cols>
  <sheetData>
    <row r="1" spans="2:6" ht="36" customHeight="1" x14ac:dyDescent="0.3">
      <c r="B1" s="2" t="s">
        <v>113</v>
      </c>
      <c r="C1" s="2"/>
      <c r="D1" s="2"/>
      <c r="E1" s="2"/>
      <c r="F1" s="2"/>
    </row>
    <row r="2" spans="2:6" ht="25.5" customHeight="1" x14ac:dyDescent="0.3">
      <c r="B2" s="65" t="s">
        <v>143</v>
      </c>
      <c r="C2" s="65"/>
      <c r="D2" s="65"/>
      <c r="E2" s="65"/>
      <c r="F2" s="65"/>
    </row>
    <row r="3" spans="2:6" ht="7.5" customHeight="1" x14ac:dyDescent="0.3"/>
    <row r="4" spans="2:6" ht="15" customHeight="1" x14ac:dyDescent="0.3">
      <c r="B4" s="1" t="s">
        <v>115</v>
      </c>
      <c r="C4" s="1"/>
      <c r="D4" s="1"/>
      <c r="E4" s="1"/>
      <c r="F4" s="1"/>
    </row>
    <row r="5" spans="2:6" ht="27.75" customHeight="1" x14ac:dyDescent="0.3">
      <c r="B5" s="39" t="s">
        <v>93</v>
      </c>
      <c r="C5" s="68">
        <v>0</v>
      </c>
      <c r="D5" s="68"/>
      <c r="E5" s="68"/>
      <c r="F5" s="68"/>
    </row>
    <row r="6" spans="2:6" ht="7.5" customHeight="1" x14ac:dyDescent="0.3"/>
    <row r="7" spans="2:6" ht="21.75" customHeight="1" x14ac:dyDescent="0.3">
      <c r="B7" s="55" t="s">
        <v>116</v>
      </c>
      <c r="C7" s="55"/>
      <c r="D7" s="55"/>
      <c r="E7" s="55"/>
      <c r="F7" s="55"/>
    </row>
    <row r="8" spans="2:6" ht="27.75" customHeight="1" x14ac:dyDescent="0.3">
      <c r="B8" s="45" t="s">
        <v>117</v>
      </c>
      <c r="C8" s="45" t="s">
        <v>118</v>
      </c>
      <c r="D8" s="45" t="s">
        <v>99</v>
      </c>
      <c r="E8" s="45" t="s">
        <v>100</v>
      </c>
      <c r="F8" s="45" t="s">
        <v>119</v>
      </c>
    </row>
    <row r="9" spans="2:6" ht="24" customHeight="1" x14ac:dyDescent="0.3">
      <c r="B9" s="46" t="s">
        <v>144</v>
      </c>
      <c r="C9" s="47">
        <f>MAX(0,MIN($C$5,4824)-0)</f>
        <v>0</v>
      </c>
      <c r="D9" s="48">
        <v>0</v>
      </c>
      <c r="E9" s="47">
        <f t="shared" ref="E9:E15" si="0">C9*D9</f>
        <v>0</v>
      </c>
      <c r="F9" s="47">
        <f>E9</f>
        <v>0</v>
      </c>
    </row>
    <row r="10" spans="2:6" ht="24" customHeight="1" x14ac:dyDescent="0.3">
      <c r="B10" s="49" t="s">
        <v>139</v>
      </c>
      <c r="C10" s="50">
        <f>MAX(0,MIN($C$5,6144)-4824)</f>
        <v>0</v>
      </c>
      <c r="D10" s="51">
        <v>0.05</v>
      </c>
      <c r="E10" s="50">
        <f t="shared" si="0"/>
        <v>0</v>
      </c>
      <c r="F10" s="50">
        <f t="shared" ref="F10:F15" si="1">F9+E10</f>
        <v>0</v>
      </c>
    </row>
    <row r="11" spans="2:6" ht="24" customHeight="1" x14ac:dyDescent="0.3">
      <c r="B11" s="46" t="s">
        <v>140</v>
      </c>
      <c r="C11" s="47">
        <f>MAX(0,MIN($C$5,7704)-6144)</f>
        <v>0</v>
      </c>
      <c r="D11" s="48">
        <v>0.1</v>
      </c>
      <c r="E11" s="47">
        <f t="shared" si="0"/>
        <v>0</v>
      </c>
      <c r="F11" s="47">
        <f t="shared" si="1"/>
        <v>0</v>
      </c>
    </row>
    <row r="12" spans="2:6" ht="24" customHeight="1" x14ac:dyDescent="0.3">
      <c r="B12" s="49" t="s">
        <v>123</v>
      </c>
      <c r="C12" s="50">
        <f>MAX(0,MIN($C$5,43704)-7704)</f>
        <v>0</v>
      </c>
      <c r="D12" s="51">
        <v>0.17499999999999999</v>
      </c>
      <c r="E12" s="50">
        <f t="shared" si="0"/>
        <v>0</v>
      </c>
      <c r="F12" s="50">
        <f t="shared" si="1"/>
        <v>0</v>
      </c>
    </row>
    <row r="13" spans="2:6" ht="24" customHeight="1" x14ac:dyDescent="0.3">
      <c r="B13" s="46" t="s">
        <v>141</v>
      </c>
      <c r="C13" s="47">
        <f>MAX(0,MIN($C$5,240444)-43704)</f>
        <v>0</v>
      </c>
      <c r="D13" s="48">
        <v>0.25</v>
      </c>
      <c r="E13" s="47">
        <f t="shared" si="0"/>
        <v>0</v>
      </c>
      <c r="F13" s="47">
        <f t="shared" si="1"/>
        <v>0</v>
      </c>
    </row>
    <row r="14" spans="2:6" ht="24" customHeight="1" x14ac:dyDescent="0.3">
      <c r="B14" s="49" t="s">
        <v>145</v>
      </c>
      <c r="C14" s="50">
        <f>MAX(0,MIN($C$5,600000)-240444)</f>
        <v>0</v>
      </c>
      <c r="D14" s="51">
        <v>0.3</v>
      </c>
      <c r="E14" s="50">
        <f t="shared" si="0"/>
        <v>0</v>
      </c>
      <c r="F14" s="50">
        <f t="shared" si="1"/>
        <v>0</v>
      </c>
    </row>
    <row r="15" spans="2:6" ht="24" customHeight="1" x14ac:dyDescent="0.3">
      <c r="B15" s="46" t="s">
        <v>146</v>
      </c>
      <c r="C15" s="47">
        <f>MAX(0,$C$5-600000)</f>
        <v>0</v>
      </c>
      <c r="D15" s="48">
        <v>0.35</v>
      </c>
      <c r="E15" s="47">
        <f t="shared" si="0"/>
        <v>0</v>
      </c>
      <c r="F15" s="47">
        <f t="shared" si="1"/>
        <v>0</v>
      </c>
    </row>
    <row r="16" spans="2:6" ht="7.5" customHeight="1" x14ac:dyDescent="0.3"/>
    <row r="17" spans="2:6" ht="27.75" customHeight="1" x14ac:dyDescent="0.3">
      <c r="B17" s="69" t="s">
        <v>126</v>
      </c>
      <c r="C17" s="69"/>
      <c r="D17" s="69"/>
      <c r="E17" s="70">
        <f>F15</f>
        <v>0</v>
      </c>
      <c r="F17" s="70"/>
    </row>
    <row r="18" spans="2:6" ht="27.75" customHeight="1" x14ac:dyDescent="0.3">
      <c r="B18" s="71" t="s">
        <v>110</v>
      </c>
      <c r="C18" s="71"/>
      <c r="D18" s="71"/>
      <c r="E18" s="72">
        <f>IF($C$5&gt;0,F15/$C$5,0)</f>
        <v>0</v>
      </c>
      <c r="F18" s="72"/>
    </row>
    <row r="19" spans="2:6" ht="27.75" customHeight="1" x14ac:dyDescent="0.3">
      <c r="B19" s="71" t="s">
        <v>111</v>
      </c>
      <c r="C19" s="71"/>
      <c r="D19" s="71"/>
      <c r="E19" s="73">
        <f>$C$5-F15</f>
        <v>0</v>
      </c>
      <c r="F19" s="73"/>
    </row>
    <row r="21" spans="2:6" ht="18" customHeight="1" x14ac:dyDescent="0.3">
      <c r="B21" s="54" t="s">
        <v>147</v>
      </c>
      <c r="C21" s="54"/>
      <c r="D21" s="54"/>
      <c r="E21" s="54"/>
      <c r="F21" s="54"/>
    </row>
    <row r="22" spans="2:6" ht="15.75" customHeight="1" x14ac:dyDescent="0.3">
      <c r="B22" s="74" t="s">
        <v>148</v>
      </c>
      <c r="C22" s="74"/>
      <c r="D22" s="74"/>
      <c r="E22" s="74"/>
      <c r="F22" s="74"/>
    </row>
  </sheetData>
  <mergeCells count="13">
    <mergeCell ref="B21:F21"/>
    <mergeCell ref="B22:F22"/>
    <mergeCell ref="B17:D17"/>
    <mergeCell ref="E17:F17"/>
    <mergeCell ref="B18:D18"/>
    <mergeCell ref="E18:F18"/>
    <mergeCell ref="B19:D19"/>
    <mergeCell ref="E19:F19"/>
    <mergeCell ref="B1:F1"/>
    <mergeCell ref="B2:F2"/>
    <mergeCell ref="B4:F4"/>
    <mergeCell ref="C5:F5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F22"/>
  <sheetViews>
    <sheetView showGridLines="0" zoomScale="80" zoomScaleNormal="80" workbookViewId="0"/>
  </sheetViews>
  <sheetFormatPr defaultColWidth="8.6640625" defaultRowHeight="14.4" x14ac:dyDescent="0.3"/>
  <cols>
    <col min="1" max="1" width="4" customWidth="1"/>
    <col min="2" max="2" width="30" customWidth="1"/>
    <col min="3" max="6" width="20" customWidth="1"/>
  </cols>
  <sheetData>
    <row r="1" spans="2:6" ht="36" customHeight="1" x14ac:dyDescent="0.3">
      <c r="B1" s="2" t="s">
        <v>113</v>
      </c>
      <c r="C1" s="2"/>
      <c r="D1" s="2"/>
      <c r="E1" s="2"/>
      <c r="F1" s="2"/>
    </row>
    <row r="2" spans="2:6" ht="25.5" customHeight="1" x14ac:dyDescent="0.3">
      <c r="B2" s="65" t="s">
        <v>149</v>
      </c>
      <c r="C2" s="65"/>
      <c r="D2" s="65"/>
      <c r="E2" s="65"/>
      <c r="F2" s="65"/>
    </row>
    <row r="3" spans="2:6" ht="7.5" customHeight="1" x14ac:dyDescent="0.3"/>
    <row r="4" spans="2:6" ht="15" customHeight="1" x14ac:dyDescent="0.3">
      <c r="B4" s="1" t="s">
        <v>115</v>
      </c>
      <c r="C4" s="1"/>
      <c r="D4" s="1"/>
      <c r="E4" s="1"/>
      <c r="F4" s="1"/>
    </row>
    <row r="5" spans="2:6" ht="27.75" customHeight="1" x14ac:dyDescent="0.3">
      <c r="B5" s="39" t="s">
        <v>93</v>
      </c>
      <c r="C5" s="68">
        <v>0</v>
      </c>
      <c r="D5" s="68"/>
      <c r="E5" s="68"/>
      <c r="F5" s="68"/>
    </row>
    <row r="6" spans="2:6" ht="7.5" customHeight="1" x14ac:dyDescent="0.3"/>
    <row r="7" spans="2:6" ht="21.75" customHeight="1" x14ac:dyDescent="0.3">
      <c r="B7" s="55" t="s">
        <v>116</v>
      </c>
      <c r="C7" s="55"/>
      <c r="D7" s="55"/>
      <c r="E7" s="55"/>
      <c r="F7" s="55"/>
    </row>
    <row r="8" spans="2:6" ht="27.75" customHeight="1" x14ac:dyDescent="0.3">
      <c r="B8" s="45" t="s">
        <v>117</v>
      </c>
      <c r="C8" s="45" t="s">
        <v>118</v>
      </c>
      <c r="D8" s="45" t="s">
        <v>99</v>
      </c>
      <c r="E8" s="45" t="s">
        <v>100</v>
      </c>
      <c r="F8" s="45" t="s">
        <v>119</v>
      </c>
    </row>
    <row r="9" spans="2:6" ht="24" customHeight="1" x14ac:dyDescent="0.3">
      <c r="B9" s="46" t="s">
        <v>150</v>
      </c>
      <c r="C9" s="47">
        <f>MAX(0,MIN($C$5,5880)-0)</f>
        <v>0</v>
      </c>
      <c r="D9" s="48">
        <v>0</v>
      </c>
      <c r="E9" s="47">
        <f t="shared" ref="E9:E15" si="0">C9*D9</f>
        <v>0</v>
      </c>
      <c r="F9" s="47">
        <f>E9</f>
        <v>0</v>
      </c>
    </row>
    <row r="10" spans="2:6" ht="24" customHeight="1" x14ac:dyDescent="0.3">
      <c r="B10" s="49" t="s">
        <v>139</v>
      </c>
      <c r="C10" s="50">
        <f>MAX(0,MIN($C$5,7200)-5880)</f>
        <v>0</v>
      </c>
      <c r="D10" s="51">
        <v>0.05</v>
      </c>
      <c r="E10" s="50">
        <f t="shared" si="0"/>
        <v>0</v>
      </c>
      <c r="F10" s="50">
        <f t="shared" ref="F10:F15" si="1">F9+E10</f>
        <v>0</v>
      </c>
    </row>
    <row r="11" spans="2:6" ht="24" customHeight="1" x14ac:dyDescent="0.3">
      <c r="B11" s="46" t="s">
        <v>140</v>
      </c>
      <c r="C11" s="47">
        <f>MAX(0,MIN($C$5,8760)-7200)</f>
        <v>0</v>
      </c>
      <c r="D11" s="48">
        <v>0.1</v>
      </c>
      <c r="E11" s="47">
        <f t="shared" si="0"/>
        <v>0</v>
      </c>
      <c r="F11" s="47">
        <f t="shared" si="1"/>
        <v>0</v>
      </c>
    </row>
    <row r="12" spans="2:6" ht="24" customHeight="1" x14ac:dyDescent="0.3">
      <c r="B12" s="49" t="s">
        <v>123</v>
      </c>
      <c r="C12" s="50">
        <f>MAX(0,MIN($C$5,44760)-8760)</f>
        <v>0</v>
      </c>
      <c r="D12" s="51">
        <v>0.17499999999999999</v>
      </c>
      <c r="E12" s="50">
        <f t="shared" si="0"/>
        <v>0</v>
      </c>
      <c r="F12" s="50">
        <f t="shared" si="1"/>
        <v>0</v>
      </c>
    </row>
    <row r="13" spans="2:6" ht="24" customHeight="1" x14ac:dyDescent="0.3">
      <c r="B13" s="46" t="s">
        <v>151</v>
      </c>
      <c r="C13" s="47">
        <f>MAX(0,MIN($C$5,240000)-44760)</f>
        <v>0</v>
      </c>
      <c r="D13" s="48">
        <v>0.25</v>
      </c>
      <c r="E13" s="47">
        <f t="shared" si="0"/>
        <v>0</v>
      </c>
      <c r="F13" s="47">
        <f t="shared" si="1"/>
        <v>0</v>
      </c>
    </row>
    <row r="14" spans="2:6" ht="24" customHeight="1" x14ac:dyDescent="0.3">
      <c r="B14" s="49" t="s">
        <v>152</v>
      </c>
      <c r="C14" s="50">
        <f>MAX(0,MIN($C$5,600000)-240000)</f>
        <v>0</v>
      </c>
      <c r="D14" s="51">
        <v>0.3</v>
      </c>
      <c r="E14" s="50">
        <f t="shared" si="0"/>
        <v>0</v>
      </c>
      <c r="F14" s="50">
        <f t="shared" si="1"/>
        <v>0</v>
      </c>
    </row>
    <row r="15" spans="2:6" ht="24" customHeight="1" x14ac:dyDescent="0.3">
      <c r="B15" s="46" t="s">
        <v>146</v>
      </c>
      <c r="C15" s="47">
        <f>MAX(0,$C$5-600000)</f>
        <v>0</v>
      </c>
      <c r="D15" s="48">
        <v>0.35</v>
      </c>
      <c r="E15" s="47">
        <f t="shared" si="0"/>
        <v>0</v>
      </c>
      <c r="F15" s="47">
        <f t="shared" si="1"/>
        <v>0</v>
      </c>
    </row>
    <row r="16" spans="2:6" ht="7.5" customHeight="1" x14ac:dyDescent="0.3"/>
    <row r="17" spans="2:6" ht="27.75" customHeight="1" x14ac:dyDescent="0.3">
      <c r="B17" s="69" t="s">
        <v>126</v>
      </c>
      <c r="C17" s="69"/>
      <c r="D17" s="69"/>
      <c r="E17" s="70">
        <f>F15</f>
        <v>0</v>
      </c>
      <c r="F17" s="70"/>
    </row>
    <row r="18" spans="2:6" ht="27.75" customHeight="1" x14ac:dyDescent="0.3">
      <c r="B18" s="71" t="s">
        <v>110</v>
      </c>
      <c r="C18" s="71"/>
      <c r="D18" s="71"/>
      <c r="E18" s="72">
        <f>IF($C$5&gt;0,F15/$C$5,0)</f>
        <v>0</v>
      </c>
      <c r="F18" s="72"/>
    </row>
    <row r="19" spans="2:6" ht="27.75" customHeight="1" x14ac:dyDescent="0.3">
      <c r="B19" s="71" t="s">
        <v>111</v>
      </c>
      <c r="C19" s="71"/>
      <c r="D19" s="71"/>
      <c r="E19" s="73">
        <f>$C$5-F15</f>
        <v>0</v>
      </c>
      <c r="F19" s="73"/>
    </row>
    <row r="21" spans="2:6" ht="18" customHeight="1" x14ac:dyDescent="0.3">
      <c r="B21" s="54" t="s">
        <v>153</v>
      </c>
      <c r="C21" s="54"/>
      <c r="D21" s="54"/>
      <c r="E21" s="54"/>
      <c r="F21" s="54"/>
    </row>
    <row r="22" spans="2:6" ht="15.75" customHeight="1" x14ac:dyDescent="0.3">
      <c r="B22" s="74" t="s">
        <v>154</v>
      </c>
      <c r="C22" s="74"/>
      <c r="D22" s="74"/>
      <c r="E22" s="74"/>
      <c r="F22" s="74"/>
    </row>
  </sheetData>
  <mergeCells count="13">
    <mergeCell ref="B21:F21"/>
    <mergeCell ref="B22:F22"/>
    <mergeCell ref="B17:D17"/>
    <mergeCell ref="E17:F17"/>
    <mergeCell ref="B18:D18"/>
    <mergeCell ref="E18:F18"/>
    <mergeCell ref="B19:D19"/>
    <mergeCell ref="E19:F19"/>
    <mergeCell ref="B1:F1"/>
    <mergeCell ref="B2:F2"/>
    <mergeCell ref="B4:F4"/>
    <mergeCell ref="C5:F5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F22"/>
  <sheetViews>
    <sheetView showGridLines="0" zoomScale="80" zoomScaleNormal="80" workbookViewId="0"/>
  </sheetViews>
  <sheetFormatPr defaultColWidth="8.6640625" defaultRowHeight="14.4" x14ac:dyDescent="0.3"/>
  <cols>
    <col min="1" max="1" width="4" customWidth="1"/>
    <col min="2" max="2" width="30" customWidth="1"/>
    <col min="3" max="6" width="20" customWidth="1"/>
  </cols>
  <sheetData>
    <row r="1" spans="2:6" ht="36" customHeight="1" x14ac:dyDescent="0.3">
      <c r="B1" s="2" t="s">
        <v>113</v>
      </c>
      <c r="C1" s="2"/>
      <c r="D1" s="2"/>
      <c r="E1" s="2"/>
      <c r="F1" s="2"/>
    </row>
    <row r="2" spans="2:6" ht="25.5" customHeight="1" x14ac:dyDescent="0.3">
      <c r="B2" s="65" t="s">
        <v>155</v>
      </c>
      <c r="C2" s="65"/>
      <c r="D2" s="65"/>
      <c r="E2" s="65"/>
      <c r="F2" s="65"/>
    </row>
    <row r="3" spans="2:6" ht="7.5" customHeight="1" x14ac:dyDescent="0.3"/>
    <row r="4" spans="2:6" ht="15" customHeight="1" x14ac:dyDescent="0.3">
      <c r="B4" s="1" t="s">
        <v>115</v>
      </c>
      <c r="C4" s="1"/>
      <c r="D4" s="1"/>
      <c r="E4" s="1"/>
      <c r="F4" s="1"/>
    </row>
    <row r="5" spans="2:6" ht="27.75" customHeight="1" x14ac:dyDescent="0.3">
      <c r="B5" s="39" t="s">
        <v>93</v>
      </c>
      <c r="C5" s="68">
        <v>0</v>
      </c>
      <c r="D5" s="68"/>
      <c r="E5" s="68"/>
      <c r="F5" s="68"/>
    </row>
    <row r="6" spans="2:6" ht="7.5" customHeight="1" x14ac:dyDescent="0.3"/>
    <row r="7" spans="2:6" ht="21.75" customHeight="1" x14ac:dyDescent="0.3">
      <c r="B7" s="55" t="s">
        <v>116</v>
      </c>
      <c r="C7" s="55"/>
      <c r="D7" s="55"/>
      <c r="E7" s="55"/>
      <c r="F7" s="55"/>
    </row>
    <row r="8" spans="2:6" ht="27.75" customHeight="1" x14ac:dyDescent="0.3">
      <c r="B8" s="45" t="s">
        <v>117</v>
      </c>
      <c r="C8" s="45" t="s">
        <v>118</v>
      </c>
      <c r="D8" s="45" t="s">
        <v>99</v>
      </c>
      <c r="E8" s="45" t="s">
        <v>100</v>
      </c>
      <c r="F8" s="45" t="s">
        <v>119</v>
      </c>
    </row>
    <row r="9" spans="2:6" ht="24" customHeight="1" x14ac:dyDescent="0.3">
      <c r="B9" s="46" t="s">
        <v>150</v>
      </c>
      <c r="C9" s="47">
        <f>MAX(0,MIN($C$5,5880)-0)</f>
        <v>0</v>
      </c>
      <c r="D9" s="48">
        <v>0</v>
      </c>
      <c r="E9" s="47">
        <f t="shared" ref="E9:E15" si="0">C9*D9</f>
        <v>0</v>
      </c>
      <c r="F9" s="47">
        <f>E9</f>
        <v>0</v>
      </c>
    </row>
    <row r="10" spans="2:6" ht="24" customHeight="1" x14ac:dyDescent="0.3">
      <c r="B10" s="49" t="s">
        <v>139</v>
      </c>
      <c r="C10" s="50">
        <f>MAX(0,MIN($C$5,7200)-5880)</f>
        <v>0</v>
      </c>
      <c r="D10" s="51">
        <v>0.05</v>
      </c>
      <c r="E10" s="50">
        <f t="shared" si="0"/>
        <v>0</v>
      </c>
      <c r="F10" s="50">
        <f t="shared" ref="F10:F15" si="1">F9+E10</f>
        <v>0</v>
      </c>
    </row>
    <row r="11" spans="2:6" ht="24" customHeight="1" x14ac:dyDescent="0.3">
      <c r="B11" s="46" t="s">
        <v>140</v>
      </c>
      <c r="C11" s="47">
        <f>MAX(0,MIN($C$5,8760)-7200)</f>
        <v>0</v>
      </c>
      <c r="D11" s="48">
        <v>0.1</v>
      </c>
      <c r="E11" s="47">
        <f t="shared" si="0"/>
        <v>0</v>
      </c>
      <c r="F11" s="47">
        <f t="shared" si="1"/>
        <v>0</v>
      </c>
    </row>
    <row r="12" spans="2:6" ht="24" customHeight="1" x14ac:dyDescent="0.3">
      <c r="B12" s="49" t="s">
        <v>156</v>
      </c>
      <c r="C12" s="50">
        <f>MAX(0,MIN($C$5,46760)-8760)</f>
        <v>0</v>
      </c>
      <c r="D12" s="51">
        <v>0.17499999999999999</v>
      </c>
      <c r="E12" s="50">
        <f t="shared" si="0"/>
        <v>0</v>
      </c>
      <c r="F12" s="50">
        <f t="shared" si="1"/>
        <v>0</v>
      </c>
    </row>
    <row r="13" spans="2:6" ht="24" customHeight="1" x14ac:dyDescent="0.3">
      <c r="B13" s="46" t="s">
        <v>157</v>
      </c>
      <c r="C13" s="47">
        <f>MAX(0,MIN($C$5,238760)-46760)</f>
        <v>0</v>
      </c>
      <c r="D13" s="48">
        <v>0.25</v>
      </c>
      <c r="E13" s="47">
        <f t="shared" si="0"/>
        <v>0</v>
      </c>
      <c r="F13" s="47">
        <f t="shared" si="1"/>
        <v>0</v>
      </c>
    </row>
    <row r="14" spans="2:6" ht="24" customHeight="1" x14ac:dyDescent="0.3">
      <c r="B14" s="49" t="s">
        <v>158</v>
      </c>
      <c r="C14" s="50">
        <f>MAX(0,MIN($C$5,605000)-238760)</f>
        <v>0</v>
      </c>
      <c r="D14" s="51">
        <v>0.3</v>
      </c>
      <c r="E14" s="50">
        <f t="shared" si="0"/>
        <v>0</v>
      </c>
      <c r="F14" s="50">
        <f t="shared" si="1"/>
        <v>0</v>
      </c>
    </row>
    <row r="15" spans="2:6" ht="24" customHeight="1" x14ac:dyDescent="0.3">
      <c r="B15" s="46" t="s">
        <v>159</v>
      </c>
      <c r="C15" s="47">
        <f>MAX(0,$C$5-605000)</f>
        <v>0</v>
      </c>
      <c r="D15" s="48">
        <v>0.35</v>
      </c>
      <c r="E15" s="47">
        <f t="shared" si="0"/>
        <v>0</v>
      </c>
      <c r="F15" s="47">
        <f t="shared" si="1"/>
        <v>0</v>
      </c>
    </row>
    <row r="16" spans="2:6" ht="7.5" customHeight="1" x14ac:dyDescent="0.3"/>
    <row r="17" spans="2:6" ht="27.75" customHeight="1" x14ac:dyDescent="0.3">
      <c r="B17" s="69" t="s">
        <v>126</v>
      </c>
      <c r="C17" s="69"/>
      <c r="D17" s="69"/>
      <c r="E17" s="70">
        <f>F15</f>
        <v>0</v>
      </c>
      <c r="F17" s="70"/>
    </row>
    <row r="18" spans="2:6" ht="27.75" customHeight="1" x14ac:dyDescent="0.3">
      <c r="B18" s="71" t="s">
        <v>110</v>
      </c>
      <c r="C18" s="71"/>
      <c r="D18" s="71"/>
      <c r="E18" s="72">
        <f>IF($C$5&gt;0,F15/$C$5,0)</f>
        <v>0</v>
      </c>
      <c r="F18" s="72"/>
    </row>
    <row r="19" spans="2:6" ht="27.75" customHeight="1" x14ac:dyDescent="0.3">
      <c r="B19" s="71" t="s">
        <v>111</v>
      </c>
      <c r="C19" s="71"/>
      <c r="D19" s="71"/>
      <c r="E19" s="73">
        <f>$C$5-F15</f>
        <v>0</v>
      </c>
      <c r="F19" s="73"/>
    </row>
    <row r="21" spans="2:6" ht="18" customHeight="1" x14ac:dyDescent="0.3">
      <c r="B21" s="54" t="s">
        <v>153</v>
      </c>
      <c r="C21" s="54"/>
      <c r="D21" s="54"/>
      <c r="E21" s="54"/>
      <c r="F21" s="54"/>
    </row>
    <row r="22" spans="2:6" ht="15.75" customHeight="1" x14ac:dyDescent="0.3">
      <c r="B22" s="74" t="s">
        <v>160</v>
      </c>
      <c r="C22" s="74"/>
      <c r="D22" s="74"/>
      <c r="E22" s="74"/>
      <c r="F22" s="74"/>
    </row>
  </sheetData>
  <mergeCells count="13">
    <mergeCell ref="B21:F21"/>
    <mergeCell ref="B22:F22"/>
    <mergeCell ref="B17:D17"/>
    <mergeCell ref="E17:F17"/>
    <mergeCell ref="B18:D18"/>
    <mergeCell ref="E18:F18"/>
    <mergeCell ref="B19:D19"/>
    <mergeCell ref="E19:F19"/>
    <mergeCell ref="B1:F1"/>
    <mergeCell ref="B2:F2"/>
    <mergeCell ref="B4:F4"/>
    <mergeCell ref="C5:F5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F22"/>
  <sheetViews>
    <sheetView showGridLines="0" tabSelected="1" zoomScale="80" zoomScaleNormal="80" workbookViewId="0"/>
  </sheetViews>
  <sheetFormatPr defaultColWidth="8.6640625" defaultRowHeight="14.4" x14ac:dyDescent="0.3"/>
  <cols>
    <col min="1" max="1" width="4" customWidth="1"/>
    <col min="2" max="2" width="30" customWidth="1"/>
    <col min="3" max="6" width="20" customWidth="1"/>
  </cols>
  <sheetData>
    <row r="1" spans="2:6" ht="36" customHeight="1" x14ac:dyDescent="0.3">
      <c r="B1" s="2" t="s">
        <v>113</v>
      </c>
      <c r="C1" s="2"/>
      <c r="D1" s="2"/>
      <c r="E1" s="2"/>
      <c r="F1" s="2"/>
    </row>
    <row r="2" spans="2:6" ht="25.5" customHeight="1" x14ac:dyDescent="0.3">
      <c r="B2" s="65" t="s">
        <v>161</v>
      </c>
      <c r="C2" s="65"/>
      <c r="D2" s="65"/>
      <c r="E2" s="65"/>
      <c r="F2" s="65"/>
    </row>
    <row r="3" spans="2:6" ht="7.5" customHeight="1" x14ac:dyDescent="0.3"/>
    <row r="4" spans="2:6" ht="15" customHeight="1" x14ac:dyDescent="0.3">
      <c r="B4" s="1" t="s">
        <v>115</v>
      </c>
      <c r="C4" s="1"/>
      <c r="D4" s="1"/>
      <c r="E4" s="1"/>
      <c r="F4" s="1"/>
    </row>
    <row r="5" spans="2:6" ht="27.75" customHeight="1" x14ac:dyDescent="0.3">
      <c r="B5" s="39" t="s">
        <v>93</v>
      </c>
      <c r="C5" s="68">
        <v>0</v>
      </c>
      <c r="D5" s="68"/>
      <c r="E5" s="68"/>
      <c r="F5" s="68"/>
    </row>
    <row r="6" spans="2:6" ht="7.5" customHeight="1" x14ac:dyDescent="0.3"/>
    <row r="7" spans="2:6" ht="21.75" customHeight="1" x14ac:dyDescent="0.3">
      <c r="B7" s="55" t="s">
        <v>116</v>
      </c>
      <c r="C7" s="55"/>
      <c r="D7" s="55"/>
      <c r="E7" s="55"/>
      <c r="F7" s="55"/>
    </row>
    <row r="8" spans="2:6" ht="27.75" customHeight="1" x14ac:dyDescent="0.3">
      <c r="B8" s="45" t="s">
        <v>117</v>
      </c>
      <c r="C8" s="45" t="s">
        <v>118</v>
      </c>
      <c r="D8" s="45" t="s">
        <v>99</v>
      </c>
      <c r="E8" s="45" t="s">
        <v>100</v>
      </c>
      <c r="F8" s="45" t="s">
        <v>119</v>
      </c>
    </row>
    <row r="9" spans="2:6" ht="24" customHeight="1" x14ac:dyDescent="0.3">
      <c r="B9" s="46" t="s">
        <v>150</v>
      </c>
      <c r="C9" s="47">
        <f>MAX(0,MIN($C$5,5880)-0)</f>
        <v>0</v>
      </c>
      <c r="D9" s="48">
        <v>0</v>
      </c>
      <c r="E9" s="47">
        <f t="shared" ref="E9:E15" si="0">C9*D9</f>
        <v>0</v>
      </c>
      <c r="F9" s="47">
        <f>E9</f>
        <v>0</v>
      </c>
    </row>
    <row r="10" spans="2:6" ht="24" customHeight="1" x14ac:dyDescent="0.3">
      <c r="B10" s="49" t="s">
        <v>139</v>
      </c>
      <c r="C10" s="50">
        <f>MAX(0,MIN($C$5,7200)-5880)</f>
        <v>0</v>
      </c>
      <c r="D10" s="51">
        <v>0.05</v>
      </c>
      <c r="E10" s="50">
        <f t="shared" si="0"/>
        <v>0</v>
      </c>
      <c r="F10" s="50">
        <f t="shared" ref="F10:F15" si="1">F9+E10</f>
        <v>0</v>
      </c>
    </row>
    <row r="11" spans="2:6" ht="24" customHeight="1" x14ac:dyDescent="0.3">
      <c r="B11" s="46" t="s">
        <v>140</v>
      </c>
      <c r="C11" s="47">
        <f>MAX(0,MIN($C$5,8760)-7200)</f>
        <v>0</v>
      </c>
      <c r="D11" s="48">
        <v>0.1</v>
      </c>
      <c r="E11" s="47">
        <f t="shared" si="0"/>
        <v>0</v>
      </c>
      <c r="F11" s="47">
        <f t="shared" si="1"/>
        <v>0</v>
      </c>
    </row>
    <row r="12" spans="2:6" ht="24" customHeight="1" x14ac:dyDescent="0.3">
      <c r="B12" s="49" t="s">
        <v>156</v>
      </c>
      <c r="C12" s="50">
        <f>MAX(0,MIN($C$5,46760)-8760)</f>
        <v>0</v>
      </c>
      <c r="D12" s="51">
        <v>0.17499999999999999</v>
      </c>
      <c r="E12" s="50">
        <f t="shared" si="0"/>
        <v>0</v>
      </c>
      <c r="F12" s="50">
        <f t="shared" si="1"/>
        <v>0</v>
      </c>
    </row>
    <row r="13" spans="2:6" ht="24" customHeight="1" x14ac:dyDescent="0.3">
      <c r="B13" s="46" t="s">
        <v>157</v>
      </c>
      <c r="C13" s="47">
        <f>MAX(0,MIN($C$5,238760)-46760)</f>
        <v>0</v>
      </c>
      <c r="D13" s="48">
        <v>0.25</v>
      </c>
      <c r="E13" s="47">
        <f t="shared" si="0"/>
        <v>0</v>
      </c>
      <c r="F13" s="47">
        <f t="shared" si="1"/>
        <v>0</v>
      </c>
    </row>
    <row r="14" spans="2:6" ht="24" customHeight="1" x14ac:dyDescent="0.3">
      <c r="B14" s="49" t="s">
        <v>158</v>
      </c>
      <c r="C14" s="50">
        <f>MAX(0,MIN($C$5,605000)-238760)</f>
        <v>0</v>
      </c>
      <c r="D14" s="51">
        <v>0.3</v>
      </c>
      <c r="E14" s="50">
        <f t="shared" si="0"/>
        <v>0</v>
      </c>
      <c r="F14" s="50">
        <f t="shared" si="1"/>
        <v>0</v>
      </c>
    </row>
    <row r="15" spans="2:6" ht="24" customHeight="1" x14ac:dyDescent="0.3">
      <c r="B15" s="46" t="s">
        <v>159</v>
      </c>
      <c r="C15" s="47">
        <f>MAX(0,$C$5-605000)</f>
        <v>0</v>
      </c>
      <c r="D15" s="48">
        <v>0.35</v>
      </c>
      <c r="E15" s="47">
        <f t="shared" si="0"/>
        <v>0</v>
      </c>
      <c r="F15" s="47">
        <f t="shared" si="1"/>
        <v>0</v>
      </c>
    </row>
    <row r="16" spans="2:6" ht="7.5" customHeight="1" x14ac:dyDescent="0.3"/>
    <row r="17" spans="2:6" ht="27.75" customHeight="1" x14ac:dyDescent="0.3">
      <c r="B17" s="69" t="s">
        <v>126</v>
      </c>
      <c r="C17" s="69"/>
      <c r="D17" s="69"/>
      <c r="E17" s="70">
        <f>F15</f>
        <v>0</v>
      </c>
      <c r="F17" s="70"/>
    </row>
    <row r="18" spans="2:6" ht="27.75" customHeight="1" x14ac:dyDescent="0.3">
      <c r="B18" s="71" t="s">
        <v>110</v>
      </c>
      <c r="C18" s="71"/>
      <c r="D18" s="71"/>
      <c r="E18" s="72">
        <f>IF($C$5&gt;0,F15/$C$5,0)</f>
        <v>0</v>
      </c>
      <c r="F18" s="72"/>
    </row>
    <row r="19" spans="2:6" ht="27.75" customHeight="1" x14ac:dyDescent="0.3">
      <c r="B19" s="71" t="s">
        <v>111</v>
      </c>
      <c r="C19" s="71"/>
      <c r="D19" s="71"/>
      <c r="E19" s="73">
        <f>$C$5-F15</f>
        <v>0</v>
      </c>
      <c r="F19" s="73"/>
    </row>
    <row r="21" spans="2:6" ht="18" customHeight="1" x14ac:dyDescent="0.3">
      <c r="B21" s="54" t="s">
        <v>153</v>
      </c>
      <c r="C21" s="54"/>
      <c r="D21" s="54"/>
      <c r="E21" s="54"/>
      <c r="F21" s="54"/>
    </row>
    <row r="22" spans="2:6" ht="15.75" customHeight="1" x14ac:dyDescent="0.3">
      <c r="B22" s="74" t="s">
        <v>162</v>
      </c>
      <c r="C22" s="74"/>
      <c r="D22" s="74"/>
      <c r="E22" s="74"/>
      <c r="F22" s="74"/>
    </row>
  </sheetData>
  <mergeCells count="13">
    <mergeCell ref="B21:F21"/>
    <mergeCell ref="B22:F22"/>
    <mergeCell ref="B17:D17"/>
    <mergeCell ref="E17:F17"/>
    <mergeCell ref="B18:D18"/>
    <mergeCell ref="E18:F18"/>
    <mergeCell ref="B19:D19"/>
    <mergeCell ref="E19:F19"/>
    <mergeCell ref="B1:F1"/>
    <mergeCell ref="B2:F2"/>
    <mergeCell ref="B4:F4"/>
    <mergeCell ref="C5:F5"/>
    <mergeCell ref="B7:F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Cover</vt:lpstr>
      <vt:lpstr>Overview</vt:lpstr>
      <vt:lpstr>Year Selector</vt:lpstr>
      <vt:lpstr>GRA 2019</vt:lpstr>
      <vt:lpstr>GRA 2020</vt:lpstr>
      <vt:lpstr>GRA 2021</vt:lpstr>
      <vt:lpstr>GRA 2022</vt:lpstr>
      <vt:lpstr>GRA 2023</vt:lpstr>
      <vt:lpstr>GRA 2024</vt:lpstr>
      <vt:lpstr>GRA 2025</vt:lpstr>
      <vt:lpstr>GRA 2026</vt:lpstr>
      <vt:lpstr>Cover!Print_Area</vt:lpstr>
      <vt:lpstr>'GRA 2019'!Print_Area</vt:lpstr>
      <vt:lpstr>'GRA 2020'!Print_Area</vt:lpstr>
      <vt:lpstr>'GRA 2021'!Print_Area</vt:lpstr>
      <vt:lpstr>'GRA 2022'!Print_Area</vt:lpstr>
      <vt:lpstr>'GRA 2023'!Print_Area</vt:lpstr>
      <vt:lpstr>'GRA 2024'!Print_Area</vt:lpstr>
      <vt:lpstr>'GRA 2025'!Print_Area</vt:lpstr>
      <vt:lpstr>'GRA 2026'!Print_Area</vt:lpstr>
      <vt:lpstr>Overview!Print_Area</vt:lpstr>
      <vt:lpstr>'Year Selector'!Print_Area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Malik Musah (Student)</cp:lastModifiedBy>
  <cp:revision>0</cp:revision>
  <dcterms:created xsi:type="dcterms:W3CDTF">2026-03-30T13:22:37Z</dcterms:created>
  <dcterms:modified xsi:type="dcterms:W3CDTF">2026-05-04T11:06:21Z</dcterms:modified>
  <dc:language>en-US</dc:language>
</cp:coreProperties>
</file>